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ksandratatko/Documents/Thesis/"/>
    </mc:Choice>
  </mc:AlternateContent>
  <xr:revisionPtr revIDLastSave="0" documentId="13_ncr:1_{E7C4CFC4-00C2-DC47-969D-3DC05BBA9D41}" xr6:coauthVersionLast="47" xr6:coauthVersionMax="47" xr10:uidLastSave="{00000000-0000-0000-0000-000000000000}"/>
  <bookViews>
    <workbookView xWindow="1320" yWindow="760" windowWidth="27480" windowHeight="17240" xr2:uid="{109949E0-801B-CB47-9D52-8521B3A89655}"/>
  </bookViews>
  <sheets>
    <sheet name="Table 2_IN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7" i="1" l="1"/>
  <c r="S86" i="1"/>
  <c r="R87" i="1"/>
  <c r="R86" i="1"/>
  <c r="Q87" i="1"/>
  <c r="Q86" i="1"/>
  <c r="P87" i="1"/>
  <c r="P86" i="1"/>
  <c r="O87" i="1"/>
  <c r="O86" i="1"/>
  <c r="N87" i="1"/>
  <c r="N86" i="1"/>
  <c r="M87" i="1"/>
  <c r="M86" i="1"/>
  <c r="L87" i="1"/>
  <c r="L86" i="1"/>
  <c r="K87" i="1"/>
  <c r="K86" i="1"/>
  <c r="J87" i="1"/>
  <c r="J86" i="1"/>
  <c r="I87" i="1"/>
  <c r="I86" i="1"/>
  <c r="H87" i="1"/>
  <c r="H86" i="1"/>
  <c r="G87" i="1"/>
  <c r="G86" i="1"/>
  <c r="F87" i="1"/>
  <c r="F86" i="1"/>
  <c r="E87" i="1"/>
  <c r="E86" i="1"/>
  <c r="D87" i="1"/>
  <c r="D86" i="1"/>
  <c r="C87" i="1"/>
  <c r="C86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G56" i="1"/>
  <c r="G59" i="1" s="1"/>
  <c r="F56" i="1"/>
  <c r="F59" i="1" s="1"/>
  <c r="F77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G77" i="1"/>
  <c r="H77" i="1"/>
  <c r="I77" i="1"/>
  <c r="J77" i="1"/>
  <c r="K77" i="1"/>
  <c r="L77" i="1"/>
  <c r="M77" i="1"/>
  <c r="N77" i="1"/>
  <c r="O77" i="1"/>
  <c r="C62" i="1"/>
  <c r="S64" i="1"/>
  <c r="R64" i="1"/>
  <c r="R76" i="1" s="1"/>
  <c r="Q64" i="1"/>
  <c r="Q76" i="1" s="1"/>
  <c r="P64" i="1"/>
  <c r="P76" i="1" s="1"/>
  <c r="P81" i="1" s="1"/>
  <c r="O64" i="1"/>
  <c r="O76" i="1" s="1"/>
  <c r="N64" i="1"/>
  <c r="N76" i="1" s="1"/>
  <c r="N81" i="1" s="1"/>
  <c r="M64" i="1"/>
  <c r="L64" i="1"/>
  <c r="K64" i="1"/>
  <c r="K76" i="1" s="1"/>
  <c r="J64" i="1"/>
  <c r="J76" i="1" s="1"/>
  <c r="I64" i="1"/>
  <c r="I76" i="1" s="1"/>
  <c r="H64" i="1"/>
  <c r="H76" i="1" s="1"/>
  <c r="H81" i="1" s="1"/>
  <c r="G64" i="1"/>
  <c r="G76" i="1" s="1"/>
  <c r="F64" i="1"/>
  <c r="F76" i="1" s="1"/>
  <c r="E64" i="1"/>
  <c r="D64" i="1"/>
  <c r="D76" i="1" s="1"/>
  <c r="C64" i="1"/>
  <c r="C76" i="1" s="1"/>
  <c r="C81" i="1" s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H59" i="1"/>
  <c r="I59" i="1"/>
  <c r="J59" i="1"/>
  <c r="K59" i="1"/>
  <c r="L59" i="1"/>
  <c r="M59" i="1"/>
  <c r="N59" i="1"/>
  <c r="O59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C60" i="1"/>
  <c r="D104" i="1"/>
  <c r="D107" i="1" s="1"/>
  <c r="E104" i="1"/>
  <c r="F104" i="1"/>
  <c r="G104" i="1"/>
  <c r="H104" i="1"/>
  <c r="H107" i="1" s="1"/>
  <c r="I104" i="1"/>
  <c r="J104" i="1"/>
  <c r="J107" i="1" s="1"/>
  <c r="K104" i="1"/>
  <c r="K107" i="1" s="1"/>
  <c r="L104" i="1"/>
  <c r="L107" i="1" s="1"/>
  <c r="M104" i="1"/>
  <c r="M107" i="1" s="1"/>
  <c r="N104" i="1"/>
  <c r="O104" i="1"/>
  <c r="O107" i="1" s="1"/>
  <c r="P104" i="1"/>
  <c r="P107" i="1" s="1"/>
  <c r="C104" i="1"/>
  <c r="C107" i="1" s="1"/>
  <c r="E99" i="1" l="1"/>
  <c r="M99" i="1"/>
  <c r="R72" i="1"/>
  <c r="D99" i="1"/>
  <c r="K101" i="1"/>
  <c r="S101" i="1"/>
  <c r="J72" i="1"/>
  <c r="D100" i="1"/>
  <c r="L100" i="1"/>
  <c r="H101" i="1"/>
  <c r="S100" i="1"/>
  <c r="N99" i="1"/>
  <c r="P100" i="1"/>
  <c r="D101" i="1"/>
  <c r="P101" i="1"/>
  <c r="L71" i="1"/>
  <c r="S72" i="1"/>
  <c r="Q79" i="1"/>
  <c r="I79" i="1"/>
  <c r="M101" i="1"/>
  <c r="O100" i="1"/>
  <c r="F99" i="1"/>
  <c r="H100" i="1"/>
  <c r="O99" i="1"/>
  <c r="L101" i="1"/>
  <c r="K72" i="1"/>
  <c r="R79" i="1"/>
  <c r="J79" i="1"/>
  <c r="Q100" i="1"/>
  <c r="N71" i="1"/>
  <c r="L73" i="1"/>
  <c r="E100" i="1"/>
  <c r="I99" i="1"/>
  <c r="Q101" i="1"/>
  <c r="P79" i="1"/>
  <c r="J99" i="1"/>
  <c r="K99" i="1"/>
  <c r="S99" i="1"/>
  <c r="F101" i="1"/>
  <c r="N101" i="1"/>
  <c r="F71" i="1"/>
  <c r="H99" i="1"/>
  <c r="I100" i="1"/>
  <c r="I101" i="1"/>
  <c r="H79" i="1"/>
  <c r="R99" i="1"/>
  <c r="K100" i="1"/>
  <c r="P99" i="1"/>
  <c r="M100" i="1"/>
  <c r="E101" i="1"/>
  <c r="F100" i="1"/>
  <c r="G101" i="1"/>
  <c r="D84" i="1"/>
  <c r="Q99" i="1"/>
  <c r="E71" i="1"/>
  <c r="M71" i="1"/>
  <c r="D72" i="1"/>
  <c r="L72" i="1"/>
  <c r="S73" i="1"/>
  <c r="J100" i="1"/>
  <c r="O71" i="1"/>
  <c r="R100" i="1"/>
  <c r="F72" i="1"/>
  <c r="E73" i="1"/>
  <c r="O79" i="1"/>
  <c r="R101" i="1"/>
  <c r="F79" i="1"/>
  <c r="N100" i="1"/>
  <c r="G71" i="1"/>
  <c r="N72" i="1"/>
  <c r="M73" i="1"/>
  <c r="G79" i="1"/>
  <c r="G99" i="1"/>
  <c r="J101" i="1"/>
  <c r="N79" i="1"/>
  <c r="O73" i="1"/>
  <c r="M76" i="1"/>
  <c r="M81" i="1" s="1"/>
  <c r="E76" i="1"/>
  <c r="F84" i="1" s="1"/>
  <c r="M79" i="1"/>
  <c r="E79" i="1"/>
  <c r="L99" i="1"/>
  <c r="G100" i="1"/>
  <c r="K73" i="1"/>
  <c r="L76" i="1"/>
  <c r="L79" i="1"/>
  <c r="D79" i="1"/>
  <c r="O101" i="1"/>
  <c r="J73" i="1"/>
  <c r="K79" i="1"/>
  <c r="C79" i="1"/>
  <c r="H71" i="1"/>
  <c r="G72" i="1"/>
  <c r="N73" i="1"/>
  <c r="E72" i="1"/>
  <c r="M72" i="1"/>
  <c r="D73" i="1"/>
  <c r="P71" i="1"/>
  <c r="O72" i="1"/>
  <c r="F73" i="1"/>
  <c r="I71" i="1"/>
  <c r="Q71" i="1"/>
  <c r="H72" i="1"/>
  <c r="P72" i="1"/>
  <c r="G73" i="1"/>
  <c r="J71" i="1"/>
  <c r="R71" i="1"/>
  <c r="Q72" i="1"/>
  <c r="H73" i="1"/>
  <c r="P73" i="1"/>
  <c r="K71" i="1"/>
  <c r="S71" i="1"/>
  <c r="Q73" i="1"/>
  <c r="D71" i="1"/>
  <c r="R73" i="1"/>
  <c r="I73" i="1"/>
  <c r="I72" i="1"/>
  <c r="N110" i="1"/>
  <c r="J84" i="1"/>
  <c r="I110" i="1"/>
  <c r="G110" i="1"/>
  <c r="K84" i="1"/>
  <c r="F110" i="1"/>
  <c r="E110" i="1"/>
  <c r="P84" i="1"/>
  <c r="H84" i="1"/>
  <c r="I84" i="1"/>
  <c r="P110" i="1"/>
  <c r="H110" i="1"/>
  <c r="M110" i="1"/>
  <c r="F81" i="1"/>
  <c r="I107" i="1"/>
  <c r="O84" i="1"/>
  <c r="G84" i="1"/>
  <c r="L110" i="1"/>
  <c r="K110" i="1"/>
  <c r="D81" i="1"/>
  <c r="G107" i="1"/>
  <c r="J110" i="1"/>
  <c r="K81" i="1"/>
  <c r="N107" i="1"/>
  <c r="F107" i="1"/>
  <c r="D110" i="1"/>
  <c r="J81" i="1"/>
  <c r="O81" i="1"/>
  <c r="E107" i="1"/>
  <c r="G81" i="1"/>
  <c r="I81" i="1"/>
  <c r="O110" i="1"/>
  <c r="M84" i="1" l="1"/>
  <c r="N84" i="1"/>
  <c r="L81" i="1"/>
  <c r="E81" i="1"/>
  <c r="E84" i="1"/>
  <c r="L84" i="1"/>
</calcChain>
</file>

<file path=xl/sharedStrings.xml><?xml version="1.0" encoding="utf-8"?>
<sst xmlns="http://schemas.openxmlformats.org/spreadsheetml/2006/main" count="238" uniqueCount="52">
  <si>
    <t>MSME import value (Rp billion)</t>
  </si>
  <si>
    <t>MSME export growth (%)</t>
  </si>
  <si>
    <t>MSME exports to total export value (%)</t>
  </si>
  <si>
    <t>MSME GDP growth (%)</t>
  </si>
  <si>
    <t>MSME contribution to GDP (%)</t>
  </si>
  <si>
    <t>Share of female employees to total employees (%)</t>
  </si>
  <si>
    <t>MSME employees growth (%)</t>
  </si>
  <si>
    <t>MSME employees to total (%)</t>
  </si>
  <si>
    <t>Number of employment by large enterprises</t>
  </si>
  <si>
    <t>Number of employment by MSMEs</t>
  </si>
  <si>
    <t>Number of employment, total</t>
  </si>
  <si>
    <t>MSME growth (%)</t>
  </si>
  <si>
    <t>MSME to total (%)</t>
  </si>
  <si>
    <t>Number of large enterprises</t>
  </si>
  <si>
    <t>Number of MSMEs</t>
  </si>
  <si>
    <t>Number of enterprises, total</t>
  </si>
  <si>
    <t>Item</t>
  </si>
  <si>
    <t>Country</t>
  </si>
  <si>
    <t>Indonesia</t>
  </si>
  <si>
    <t>GDP of MSMEs (B million)</t>
  </si>
  <si>
    <t>MSME export value (B million)</t>
  </si>
  <si>
    <t>MSME import value (B million)</t>
  </si>
  <si>
    <t>MSME import to total import value (%)</t>
  </si>
  <si>
    <t>MSME import growth (%)</t>
  </si>
  <si>
    <t>Thailand</t>
  </si>
  <si>
    <t>MSMEs by sector : Agriculture, forestry, and fisheries (%)</t>
  </si>
  <si>
    <t>MSMEs by sector : Manufacturing (%)</t>
  </si>
  <si>
    <t>MSMEs by sector : Construction (%)</t>
  </si>
  <si>
    <t>MSMEs by sector : Transportation and communication (%)</t>
  </si>
  <si>
    <t>MSMEs by sector : Wholesale and retail trade (%)</t>
  </si>
  <si>
    <t>MSMEs by sector : Others (%)</t>
  </si>
  <si>
    <t>MSMEs by sector : Other services (%)</t>
  </si>
  <si>
    <t>MSME loan growth (%)</t>
  </si>
  <si>
    <t>MSME loans to total loans outstanding (%)</t>
  </si>
  <si>
    <t>MSME loans to GDP (%)</t>
  </si>
  <si>
    <t>GDP of MSMEs (D billion)</t>
  </si>
  <si>
    <t>MSME import value ($ million)</t>
  </si>
  <si>
    <t>Vietnam</t>
  </si>
  <si>
    <t>Official exchange rate (LCU per US$, period average)</t>
  </si>
  <si>
    <t>Exports of goods and services (current million US$)</t>
  </si>
  <si>
    <t>GDP of MSMEs (current million US$)</t>
  </si>
  <si>
    <t>GDP of MSMEs (Rp million)</t>
  </si>
  <si>
    <t>MSME export value (Rp million)</t>
  </si>
  <si>
    <t>Imports of goods and services (current million US$)</t>
  </si>
  <si>
    <t>Total import growth (%)- calculated WBD</t>
  </si>
  <si>
    <t>Total export growth (%)- calculated WBD</t>
  </si>
  <si>
    <t>Total import value ($ million) -ADB</t>
  </si>
  <si>
    <t xml:space="preserve">Total export value ($ million)- ADB </t>
  </si>
  <si>
    <t xml:space="preserve">Total export value (B million)- ADB </t>
  </si>
  <si>
    <t xml:space="preserve">Total import value (B million)- ADB </t>
  </si>
  <si>
    <t xml:space="preserve">Total Import growth (%)- ADB </t>
  </si>
  <si>
    <t>MSME export (current million US$)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</si>
</sst>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5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b/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1" applyFont="1"/>
    <xf numFmtId="0" fontId="3" fillId="0" borderId="0" xfId="1" applyFont="1"/>
    <xf numFmtId="0" fontId="2" fillId="0" borderId="0" xfId="1" applyFont="1" applyAlignment="1">
      <alignment horizontal="right"/>
    </xf>
    <xf numFmtId="165" fontId="2" fillId="0" borderId="0" xfId="2" applyNumberFormat="1" applyFont="1" applyFill="1" applyBorder="1"/>
    <xf numFmtId="0" fontId="2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2" fillId="0" borderId="0" xfId="1" applyFont="1" applyAlignment="1">
      <alignment horizontal="left"/>
    </xf>
    <xf numFmtId="165" fontId="2" fillId="0" borderId="0" xfId="2" applyNumberFormat="1" applyFont="1" applyFill="1" applyBorder="1" applyAlignment="1">
      <alignment horizontal="left"/>
    </xf>
    <xf numFmtId="0" fontId="3" fillId="0" borderId="0" xfId="1" applyFont="1" applyAlignment="1">
      <alignment horizontal="left"/>
    </xf>
    <xf numFmtId="0" fontId="0" fillId="0" borderId="0" xfId="0" applyAlignment="1">
      <alignment horizontal="left"/>
    </xf>
    <xf numFmtId="0" fontId="4" fillId="0" borderId="0" xfId="1" applyFont="1" applyAlignment="1">
      <alignment horizontal="left"/>
    </xf>
    <xf numFmtId="0" fontId="2" fillId="4" borderId="0" xfId="1" applyFont="1" applyFill="1" applyAlignment="1">
      <alignment horizontal="left"/>
    </xf>
    <xf numFmtId="0" fontId="2" fillId="3" borderId="0" xfId="1" applyFont="1" applyFill="1" applyAlignment="1">
      <alignment horizontal="left"/>
    </xf>
    <xf numFmtId="0" fontId="2" fillId="2" borderId="0" xfId="1" applyFont="1" applyFill="1" applyAlignment="1">
      <alignment horizontal="left"/>
    </xf>
  </cellXfs>
  <cellStyles count="4">
    <cellStyle name="Comma 2 2" xfId="2" xr:uid="{439E3613-0C97-2A41-A65E-9F61EF40E351}"/>
    <cellStyle name="Normal" xfId="0" builtinId="0"/>
    <cellStyle name="Normal 2 2" xfId="1" xr:uid="{41D77DD3-B7AC-F34C-A94C-735E3D750B49}"/>
    <cellStyle name="Percent 2 2" xfId="3" xr:uid="{D9281A07-EC09-184E-ADF4-213E5CF7FC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E9C04-C88A-F541-81AC-F25520B07487}">
  <sheetPr>
    <pageSetUpPr fitToPage="1"/>
  </sheetPr>
  <dimension ref="A1:BP423"/>
  <sheetViews>
    <sheetView tabSelected="1" zoomScale="75" zoomScaleNormal="107" workbookViewId="0">
      <selection activeCell="B72" sqref="B72"/>
    </sheetView>
  </sheetViews>
  <sheetFormatPr baseColWidth="10" defaultColWidth="8.5" defaultRowHeight="11" x14ac:dyDescent="0.15"/>
  <cols>
    <col min="1" max="1" width="40.6640625" style="1" customWidth="1"/>
    <col min="2" max="2" width="43" style="1" bestFit="1" customWidth="1"/>
    <col min="3" max="14" width="10.6640625" style="1" customWidth="1"/>
    <col min="15" max="16" width="12.33203125" style="1" bestFit="1" customWidth="1"/>
    <col min="17" max="30" width="12" style="1" bestFit="1" customWidth="1"/>
    <col min="31" max="33" width="13.1640625" style="1" bestFit="1" customWidth="1"/>
    <col min="34" max="16384" width="8.5" style="1"/>
  </cols>
  <sheetData>
    <row r="1" spans="1:21" s="2" customFormat="1" x14ac:dyDescent="0.15">
      <c r="A1" s="11" t="s">
        <v>17</v>
      </c>
      <c r="B1" s="11" t="s">
        <v>16</v>
      </c>
      <c r="C1" s="11">
        <v>2007</v>
      </c>
      <c r="D1" s="11">
        <v>2008</v>
      </c>
      <c r="E1" s="11">
        <v>2009</v>
      </c>
      <c r="F1" s="11">
        <v>2010</v>
      </c>
      <c r="G1" s="11">
        <v>2011</v>
      </c>
      <c r="H1" s="11">
        <v>2012</v>
      </c>
      <c r="I1" s="11">
        <v>2013</v>
      </c>
      <c r="J1" s="11">
        <v>2014</v>
      </c>
      <c r="K1" s="11">
        <v>2015</v>
      </c>
      <c r="L1" s="11">
        <v>2016</v>
      </c>
      <c r="M1" s="11">
        <v>2017</v>
      </c>
      <c r="N1" s="11">
        <v>2018</v>
      </c>
      <c r="O1" s="11">
        <v>2019</v>
      </c>
      <c r="P1" s="11">
        <v>2020</v>
      </c>
      <c r="Q1" s="11">
        <v>2021</v>
      </c>
      <c r="R1" s="11">
        <v>2022</v>
      </c>
      <c r="S1" s="11">
        <v>2023</v>
      </c>
      <c r="T1" s="11">
        <v>2024</v>
      </c>
      <c r="U1" s="6"/>
    </row>
    <row r="2" spans="1:21" x14ac:dyDescent="0.15">
      <c r="A2" s="12" t="s">
        <v>18</v>
      </c>
      <c r="B2" s="7" t="s">
        <v>15</v>
      </c>
      <c r="C2" s="7"/>
      <c r="D2" s="7"/>
      <c r="E2" s="7"/>
      <c r="F2" s="7">
        <v>52769426</v>
      </c>
      <c r="G2" s="7">
        <v>54119971</v>
      </c>
      <c r="H2" s="7">
        <v>55211396</v>
      </c>
      <c r="I2" s="7">
        <v>56539560</v>
      </c>
      <c r="J2" s="7">
        <v>57900787</v>
      </c>
      <c r="K2" s="7">
        <v>59267759</v>
      </c>
      <c r="L2" s="7">
        <v>61656547</v>
      </c>
      <c r="M2" s="7">
        <v>62928077</v>
      </c>
      <c r="N2" s="7">
        <v>64199606</v>
      </c>
      <c r="O2" s="7">
        <v>65471134</v>
      </c>
      <c r="P2" s="7"/>
      <c r="Q2" s="7"/>
      <c r="R2" s="7"/>
      <c r="S2" s="7"/>
      <c r="T2" s="7"/>
    </row>
    <row r="3" spans="1:21" x14ac:dyDescent="0.15">
      <c r="A3" s="13" t="s">
        <v>24</v>
      </c>
      <c r="B3" s="7" t="s">
        <v>15</v>
      </c>
      <c r="C3" s="7">
        <v>2375368</v>
      </c>
      <c r="D3" s="7">
        <v>2836377</v>
      </c>
      <c r="E3" s="7">
        <v>2900759</v>
      </c>
      <c r="F3" s="7">
        <v>2924912</v>
      </c>
      <c r="G3" s="7">
        <v>2652854</v>
      </c>
      <c r="H3" s="7">
        <v>2781945</v>
      </c>
      <c r="I3" s="7">
        <v>2844757</v>
      </c>
      <c r="J3" s="7">
        <v>2744198</v>
      </c>
      <c r="K3" s="7">
        <v>2773625</v>
      </c>
      <c r="L3" s="7">
        <v>3013722</v>
      </c>
      <c r="M3" s="7">
        <v>3053468</v>
      </c>
      <c r="N3" s="7">
        <v>3084291</v>
      </c>
      <c r="O3" s="7">
        <v>3119738</v>
      </c>
      <c r="P3" s="7">
        <v>3148897</v>
      </c>
      <c r="Q3" s="7">
        <v>3191706</v>
      </c>
      <c r="R3" s="7">
        <v>3202002</v>
      </c>
      <c r="S3" s="7"/>
      <c r="T3" s="7"/>
    </row>
    <row r="4" spans="1:21" x14ac:dyDescent="0.15">
      <c r="A4" s="14" t="s">
        <v>37</v>
      </c>
      <c r="B4" s="7" t="s">
        <v>15</v>
      </c>
      <c r="C4" s="7">
        <v>149069</v>
      </c>
      <c r="D4" s="7">
        <v>192179</v>
      </c>
      <c r="E4" s="7">
        <v>236584</v>
      </c>
      <c r="F4" s="7">
        <v>279360</v>
      </c>
      <c r="G4" s="7">
        <v>324691</v>
      </c>
      <c r="H4" s="7">
        <v>346777</v>
      </c>
      <c r="I4" s="7">
        <v>373213</v>
      </c>
      <c r="J4" s="7">
        <v>402326</v>
      </c>
      <c r="K4" s="7">
        <v>442485</v>
      </c>
      <c r="L4" s="7">
        <v>505059</v>
      </c>
      <c r="M4" s="7">
        <v>560413</v>
      </c>
      <c r="N4" s="7">
        <v>610637</v>
      </c>
      <c r="O4" s="7">
        <v>668505</v>
      </c>
      <c r="P4" s="7">
        <v>684260</v>
      </c>
      <c r="Q4" s="7">
        <v>718718</v>
      </c>
      <c r="R4" s="7"/>
      <c r="S4" s="7"/>
      <c r="T4" s="7"/>
    </row>
    <row r="5" spans="1:21" x14ac:dyDescent="0.15">
      <c r="A5" s="12" t="s">
        <v>18</v>
      </c>
      <c r="B5" s="7" t="s">
        <v>14</v>
      </c>
      <c r="C5" s="7"/>
      <c r="D5" s="7"/>
      <c r="E5" s="7"/>
      <c r="F5" s="7">
        <v>52764750</v>
      </c>
      <c r="G5" s="7">
        <v>54114821</v>
      </c>
      <c r="H5" s="7">
        <v>55206444</v>
      </c>
      <c r="I5" s="7">
        <v>56534592</v>
      </c>
      <c r="J5" s="7">
        <v>57895721</v>
      </c>
      <c r="K5" s="7">
        <v>59262772</v>
      </c>
      <c r="L5" s="7">
        <v>61651177</v>
      </c>
      <c r="M5" s="7">
        <v>62922617</v>
      </c>
      <c r="N5" s="7">
        <v>64194057</v>
      </c>
      <c r="O5" s="7">
        <v>65465497</v>
      </c>
      <c r="P5" s="7"/>
      <c r="Q5" s="7"/>
      <c r="R5" s="7"/>
      <c r="S5" s="7"/>
      <c r="T5" s="7"/>
    </row>
    <row r="6" spans="1:21" ht="12" customHeight="1" x14ac:dyDescent="0.15">
      <c r="A6" s="13" t="s">
        <v>24</v>
      </c>
      <c r="B6" s="7" t="s">
        <v>14</v>
      </c>
      <c r="C6" s="7">
        <v>2366227</v>
      </c>
      <c r="D6" s="7">
        <v>2827633</v>
      </c>
      <c r="E6" s="7">
        <v>2896106</v>
      </c>
      <c r="F6" s="7">
        <v>2913167</v>
      </c>
      <c r="G6" s="7">
        <v>2646549</v>
      </c>
      <c r="H6" s="7">
        <v>2739142</v>
      </c>
      <c r="I6" s="7">
        <v>2763997</v>
      </c>
      <c r="J6" s="7">
        <v>2736744</v>
      </c>
      <c r="K6" s="7">
        <v>2765986</v>
      </c>
      <c r="L6" s="7">
        <v>3004679</v>
      </c>
      <c r="M6" s="7">
        <v>3046790</v>
      </c>
      <c r="N6" s="7">
        <v>3077822</v>
      </c>
      <c r="O6" s="7">
        <v>3105096</v>
      </c>
      <c r="P6" s="7">
        <v>3134442</v>
      </c>
      <c r="Q6" s="7">
        <v>3178124</v>
      </c>
      <c r="R6" s="7">
        <v>3187378</v>
      </c>
      <c r="S6" s="7"/>
      <c r="T6" s="7"/>
    </row>
    <row r="7" spans="1:21" ht="12" customHeight="1" x14ac:dyDescent="0.15">
      <c r="A7" s="14" t="s">
        <v>37</v>
      </c>
      <c r="B7" s="7" t="s">
        <v>14</v>
      </c>
      <c r="C7" s="7">
        <v>143622</v>
      </c>
      <c r="D7" s="7">
        <v>186379</v>
      </c>
      <c r="E7" s="7">
        <v>230365</v>
      </c>
      <c r="F7" s="7">
        <v>272283</v>
      </c>
      <c r="G7" s="7">
        <v>316941</v>
      </c>
      <c r="H7" s="7">
        <v>338916</v>
      </c>
      <c r="I7" s="7">
        <v>365181</v>
      </c>
      <c r="J7" s="7">
        <v>393915</v>
      </c>
      <c r="K7" s="7">
        <v>433453</v>
      </c>
      <c r="L7" s="7">
        <v>495010</v>
      </c>
      <c r="M7" s="7">
        <v>544212</v>
      </c>
      <c r="N7" s="7">
        <v>593865</v>
      </c>
      <c r="O7" s="7">
        <v>651138</v>
      </c>
      <c r="P7" s="7">
        <v>666256</v>
      </c>
      <c r="Q7" s="7">
        <v>699859</v>
      </c>
      <c r="R7" s="7">
        <v>715179</v>
      </c>
      <c r="S7" s="7"/>
      <c r="T7" s="7"/>
    </row>
    <row r="8" spans="1:21" ht="12" customHeight="1" x14ac:dyDescent="0.15">
      <c r="A8" s="12" t="s">
        <v>18</v>
      </c>
      <c r="B8" s="7" t="s">
        <v>13</v>
      </c>
      <c r="C8" s="7"/>
      <c r="D8" s="7"/>
      <c r="E8" s="7"/>
      <c r="F8" s="7">
        <v>4676</v>
      </c>
      <c r="G8" s="7">
        <v>5150</v>
      </c>
      <c r="H8" s="7">
        <v>4952</v>
      </c>
      <c r="I8" s="7">
        <v>4968</v>
      </c>
      <c r="J8" s="7">
        <v>5066</v>
      </c>
      <c r="K8" s="7">
        <v>4987</v>
      </c>
      <c r="L8" s="7">
        <v>5370</v>
      </c>
      <c r="M8" s="7">
        <v>5460</v>
      </c>
      <c r="N8" s="7">
        <v>5550</v>
      </c>
      <c r="O8" s="7">
        <v>5637</v>
      </c>
      <c r="P8" s="7"/>
      <c r="Q8" s="7"/>
      <c r="R8" s="7"/>
      <c r="S8" s="7"/>
      <c r="T8" s="7"/>
    </row>
    <row r="9" spans="1:21" s="4" customFormat="1" ht="12" customHeight="1" x14ac:dyDescent="0.15">
      <c r="A9" s="13" t="s">
        <v>24</v>
      </c>
      <c r="B9" s="7" t="s">
        <v>13</v>
      </c>
      <c r="C9" s="7">
        <v>9141</v>
      </c>
      <c r="D9" s="7">
        <v>4586</v>
      </c>
      <c r="E9" s="7">
        <v>4653</v>
      </c>
      <c r="F9" s="7">
        <v>9140</v>
      </c>
      <c r="G9" s="7">
        <v>6253</v>
      </c>
      <c r="H9" s="7">
        <v>7591</v>
      </c>
      <c r="I9" s="7">
        <v>7349</v>
      </c>
      <c r="J9" s="7">
        <v>7062</v>
      </c>
      <c r="K9" s="7">
        <v>7156</v>
      </c>
      <c r="L9" s="7">
        <v>9025</v>
      </c>
      <c r="M9" s="7">
        <v>6662</v>
      </c>
      <c r="N9" s="7">
        <v>6455</v>
      </c>
      <c r="O9" s="7">
        <v>14641</v>
      </c>
      <c r="P9" s="7">
        <v>14454</v>
      </c>
      <c r="Q9" s="7">
        <v>13580</v>
      </c>
      <c r="R9" s="7">
        <v>14623</v>
      </c>
      <c r="S9" s="8"/>
      <c r="T9" s="8"/>
    </row>
    <row r="10" spans="1:21" s="4" customFormat="1" ht="12" customHeight="1" x14ac:dyDescent="0.15">
      <c r="A10" s="14" t="s">
        <v>37</v>
      </c>
      <c r="B10" s="7" t="s">
        <v>13</v>
      </c>
      <c r="C10" s="7">
        <v>5447</v>
      </c>
      <c r="D10" s="7">
        <v>5800</v>
      </c>
      <c r="E10" s="7">
        <v>6219</v>
      </c>
      <c r="F10" s="7">
        <v>7077</v>
      </c>
      <c r="G10" s="7">
        <v>7750</v>
      </c>
      <c r="H10" s="7">
        <v>7861</v>
      </c>
      <c r="I10" s="7">
        <v>8032</v>
      </c>
      <c r="J10" s="7">
        <v>8411</v>
      </c>
      <c r="K10" s="7">
        <v>9032</v>
      </c>
      <c r="L10" s="7">
        <v>10049</v>
      </c>
      <c r="M10" s="7">
        <v>16201</v>
      </c>
      <c r="N10" s="7">
        <v>16772</v>
      </c>
      <c r="O10" s="7">
        <v>17367</v>
      </c>
      <c r="P10" s="7">
        <v>18004</v>
      </c>
      <c r="Q10" s="7">
        <v>18859</v>
      </c>
      <c r="R10" s="8"/>
      <c r="S10" s="8"/>
      <c r="T10" s="8"/>
    </row>
    <row r="11" spans="1:21" s="4" customFormat="1" ht="12" customHeight="1" x14ac:dyDescent="0.15">
      <c r="A11" s="12" t="s">
        <v>18</v>
      </c>
      <c r="B11" s="7" t="s">
        <v>12</v>
      </c>
      <c r="C11" s="7"/>
      <c r="D11" s="7"/>
      <c r="E11" s="7"/>
      <c r="F11" s="7">
        <v>99.99</v>
      </c>
      <c r="G11" s="7">
        <v>99.99</v>
      </c>
      <c r="H11" s="7">
        <v>99.99</v>
      </c>
      <c r="I11" s="7">
        <v>99.99</v>
      </c>
      <c r="J11" s="7">
        <v>99.99</v>
      </c>
      <c r="K11" s="7">
        <v>99.99</v>
      </c>
      <c r="L11" s="7">
        <v>99.99</v>
      </c>
      <c r="M11" s="7">
        <v>99.99</v>
      </c>
      <c r="N11" s="7">
        <v>99.99</v>
      </c>
      <c r="O11" s="7">
        <v>99.99</v>
      </c>
      <c r="P11" s="8"/>
      <c r="Q11" s="8"/>
      <c r="R11" s="8"/>
      <c r="S11" s="8"/>
      <c r="T11" s="8"/>
    </row>
    <row r="12" spans="1:21" s="4" customFormat="1" ht="12" customHeight="1" x14ac:dyDescent="0.15">
      <c r="A12" s="13" t="s">
        <v>24</v>
      </c>
      <c r="B12" s="7" t="s">
        <v>12</v>
      </c>
      <c r="C12" s="7">
        <v>99.6</v>
      </c>
      <c r="D12" s="7">
        <v>99.7</v>
      </c>
      <c r="E12" s="7">
        <v>99.8</v>
      </c>
      <c r="F12" s="7">
        <v>99.6</v>
      </c>
      <c r="G12" s="7">
        <v>99.8</v>
      </c>
      <c r="H12" s="7">
        <v>97.204705825395479</v>
      </c>
      <c r="I12" s="7">
        <v>97.161093197063934</v>
      </c>
      <c r="J12" s="7">
        <v>99.73</v>
      </c>
      <c r="K12" s="7">
        <v>99.72</v>
      </c>
      <c r="L12" s="7">
        <v>99.7</v>
      </c>
      <c r="M12" s="7">
        <v>99.78</v>
      </c>
      <c r="N12" s="7">
        <v>99.79</v>
      </c>
      <c r="O12" s="7">
        <v>99.53</v>
      </c>
      <c r="P12" s="7">
        <v>99.5</v>
      </c>
      <c r="Q12" s="7">
        <v>99.574459552352252</v>
      </c>
      <c r="R12" s="7">
        <v>99.543285731864003</v>
      </c>
      <c r="S12" s="8"/>
      <c r="T12" s="8"/>
    </row>
    <row r="13" spans="1:21" ht="12" customHeight="1" x14ac:dyDescent="0.15">
      <c r="A13" s="14" t="s">
        <v>37</v>
      </c>
      <c r="B13" s="7" t="s">
        <v>12</v>
      </c>
      <c r="C13" s="7">
        <v>96.345987428640427</v>
      </c>
      <c r="D13" s="7">
        <v>96.981980341244366</v>
      </c>
      <c r="E13" s="7">
        <v>97.371335339667937</v>
      </c>
      <c r="F13" s="7">
        <v>97.466709621993132</v>
      </c>
      <c r="G13" s="7">
        <v>97.613115238796269</v>
      </c>
      <c r="H13" s="7">
        <v>97.733125322613674</v>
      </c>
      <c r="I13" s="7">
        <v>97.847877753454455</v>
      </c>
      <c r="J13" s="7">
        <v>97.909406799461124</v>
      </c>
      <c r="K13" s="7">
        <v>97.958800863306109</v>
      </c>
      <c r="L13" s="7">
        <v>98.010331466224741</v>
      </c>
      <c r="M13" s="7">
        <v>97.109096327172992</v>
      </c>
      <c r="N13" s="7">
        <v>97.214711850084427</v>
      </c>
      <c r="O13" s="7">
        <v>97.402113671550694</v>
      </c>
      <c r="P13" s="7">
        <v>97.368836407213635</v>
      </c>
      <c r="Q13" s="7">
        <v>97.376022306384428</v>
      </c>
      <c r="R13" s="7"/>
      <c r="S13" s="7"/>
      <c r="T13" s="7"/>
    </row>
    <row r="14" spans="1:21" ht="12" customHeight="1" x14ac:dyDescent="0.15">
      <c r="A14" s="12" t="s">
        <v>18</v>
      </c>
      <c r="B14" s="7" t="s">
        <v>11</v>
      </c>
      <c r="C14" s="7"/>
      <c r="D14" s="7"/>
      <c r="E14" s="7"/>
      <c r="F14" s="7">
        <v>2.5</v>
      </c>
      <c r="G14" s="7">
        <v>2.6</v>
      </c>
      <c r="H14" s="7">
        <v>2</v>
      </c>
      <c r="I14" s="7">
        <v>2.4</v>
      </c>
      <c r="J14" s="7">
        <v>2.4</v>
      </c>
      <c r="K14" s="7">
        <v>2.4</v>
      </c>
      <c r="L14" s="7">
        <v>4</v>
      </c>
      <c r="M14" s="7">
        <v>2.1</v>
      </c>
      <c r="N14" s="7">
        <v>2</v>
      </c>
      <c r="O14" s="7">
        <v>1.9</v>
      </c>
      <c r="P14" s="7"/>
      <c r="Q14" s="7"/>
      <c r="R14" s="7"/>
      <c r="S14" s="7"/>
      <c r="T14" s="7"/>
    </row>
    <row r="15" spans="1:21" s="3" customFormat="1" ht="12" customHeight="1" x14ac:dyDescent="0.15">
      <c r="A15" s="13" t="s">
        <v>24</v>
      </c>
      <c r="B15" s="7" t="s">
        <v>11</v>
      </c>
      <c r="C15" s="7">
        <v>3.3</v>
      </c>
      <c r="D15" s="7">
        <v>19.5</v>
      </c>
      <c r="E15" s="7">
        <v>2.4</v>
      </c>
      <c r="F15" s="7">
        <v>0.6</v>
      </c>
      <c r="G15" s="7">
        <v>-9.1999999999999993</v>
      </c>
      <c r="H15" s="7">
        <v>3.1755316073875828</v>
      </c>
      <c r="I15" s="7">
        <v>1.2233981581276727</v>
      </c>
      <c r="J15" s="7">
        <v>0.76</v>
      </c>
      <c r="K15" s="7">
        <v>1.07</v>
      </c>
      <c r="L15" s="7">
        <v>8.6300000000000008</v>
      </c>
      <c r="M15" s="7">
        <v>1.3</v>
      </c>
      <c r="N15" s="7">
        <v>1.02</v>
      </c>
      <c r="O15" s="7">
        <v>1.1200000000000001</v>
      </c>
      <c r="P15" s="7">
        <v>-0.95</v>
      </c>
      <c r="Q15" s="7">
        <v>1.3936132810879798</v>
      </c>
      <c r="R15" s="7">
        <v>0.2911780660540586</v>
      </c>
      <c r="S15" s="7"/>
      <c r="T15" s="7"/>
    </row>
    <row r="16" spans="1:21" s="3" customFormat="1" ht="12" customHeight="1" x14ac:dyDescent="0.15">
      <c r="A16" s="14" t="s">
        <v>37</v>
      </c>
      <c r="B16" s="7" t="s">
        <v>11</v>
      </c>
      <c r="C16" s="7">
        <v>19.600000000000001</v>
      </c>
      <c r="D16" s="7">
        <v>29.770508696439265</v>
      </c>
      <c r="E16" s="7">
        <v>23.600298316870465</v>
      </c>
      <c r="F16" s="7">
        <v>18.196340589933367</v>
      </c>
      <c r="G16" s="7">
        <v>16.401317746609223</v>
      </c>
      <c r="H16" s="7">
        <v>6.9334671121754639</v>
      </c>
      <c r="I16" s="7">
        <v>9.3896685488340097</v>
      </c>
      <c r="J16" s="7">
        <v>7.8684268896793697</v>
      </c>
      <c r="K16" s="7">
        <v>10.037190764505027</v>
      </c>
      <c r="L16" s="7">
        <v>14.201539728644178</v>
      </c>
      <c r="M16" s="7">
        <v>9.9395971798549567</v>
      </c>
      <c r="N16" s="7">
        <v>9.0804686408972941</v>
      </c>
      <c r="O16" s="7">
        <v>9.6441110353363086</v>
      </c>
      <c r="P16" s="7">
        <v>2.3217812506719042</v>
      </c>
      <c r="Q16" s="7">
        <v>5.0435568310079049</v>
      </c>
      <c r="R16" s="7"/>
      <c r="S16" s="7"/>
      <c r="T16" s="7"/>
    </row>
    <row r="17" spans="1:21" x14ac:dyDescent="0.15">
      <c r="A17" s="12" t="s">
        <v>18</v>
      </c>
      <c r="B17" s="7" t="s">
        <v>25</v>
      </c>
      <c r="C17" s="7"/>
      <c r="D17" s="7"/>
      <c r="E17" s="7"/>
      <c r="F17" s="7">
        <v>50</v>
      </c>
      <c r="G17" s="7">
        <v>49.6</v>
      </c>
      <c r="H17" s="7">
        <v>48.8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5"/>
    </row>
    <row r="18" spans="1:21" s="3" customFormat="1" ht="12" customHeight="1" x14ac:dyDescent="0.15">
      <c r="A18" s="13" t="s">
        <v>24</v>
      </c>
      <c r="B18" s="7" t="s">
        <v>25</v>
      </c>
      <c r="C18" s="7"/>
      <c r="D18" s="7">
        <v>0.20000000000000284</v>
      </c>
      <c r="E18" s="7"/>
      <c r="F18" s="7"/>
      <c r="G18" s="7"/>
      <c r="H18" s="7"/>
      <c r="I18" s="7"/>
      <c r="J18" s="7">
        <v>1.7000000000000028</v>
      </c>
      <c r="K18" s="7">
        <v>1.3100000000000023</v>
      </c>
      <c r="L18" s="7">
        <v>1.4099999999999966</v>
      </c>
      <c r="M18" s="7">
        <v>1.5049609589108537</v>
      </c>
      <c r="N18" s="7">
        <v>1.5016138035272995</v>
      </c>
      <c r="O18" s="7">
        <v>1.58</v>
      </c>
      <c r="P18" s="7">
        <v>1.83</v>
      </c>
      <c r="Q18" s="7">
        <v>1.9039534014405983</v>
      </c>
      <c r="R18" s="7">
        <v>1.6880018623457904</v>
      </c>
      <c r="S18" s="7"/>
      <c r="T18" s="7"/>
    </row>
    <row r="19" spans="1:21" s="3" customFormat="1" ht="12" customHeight="1" x14ac:dyDescent="0.15">
      <c r="A19" s="14" t="s">
        <v>37</v>
      </c>
      <c r="B19" s="7" t="s">
        <v>25</v>
      </c>
      <c r="C19" s="7">
        <v>1.5791452562977819</v>
      </c>
      <c r="D19" s="7">
        <v>1.1401499095928189</v>
      </c>
      <c r="E19" s="7">
        <v>0.99016777722310245</v>
      </c>
      <c r="F19" s="7">
        <v>0.89722825148834118</v>
      </c>
      <c r="G19" s="7">
        <v>1.0087050902218393</v>
      </c>
      <c r="H19" s="7">
        <v>1.0008379657496254</v>
      </c>
      <c r="I19" s="7">
        <v>0.96554859097269574</v>
      </c>
      <c r="J19" s="7">
        <v>0.94208141350291297</v>
      </c>
      <c r="K19" s="7">
        <v>0.85545607020830405</v>
      </c>
      <c r="L19" s="7">
        <v>0.87210359386679059</v>
      </c>
      <c r="M19" s="7">
        <v>0.96433007724930719</v>
      </c>
      <c r="N19" s="7">
        <v>1.1148377185076874</v>
      </c>
      <c r="O19" s="7">
        <v>1.1093405340203377</v>
      </c>
      <c r="P19" s="7">
        <v>0.93275374069986561</v>
      </c>
      <c r="Q19" s="7">
        <v>0.95690703413116063</v>
      </c>
      <c r="R19" s="7">
        <v>0.8</v>
      </c>
      <c r="S19" s="7"/>
      <c r="T19" s="7"/>
    </row>
    <row r="20" spans="1:21" x14ac:dyDescent="0.15">
      <c r="A20" s="12" t="s">
        <v>18</v>
      </c>
      <c r="B20" s="7" t="s">
        <v>26</v>
      </c>
      <c r="C20" s="7"/>
      <c r="D20" s="7"/>
      <c r="E20" s="7"/>
      <c r="F20" s="7">
        <v>6.2</v>
      </c>
      <c r="G20" s="7">
        <v>6.4</v>
      </c>
      <c r="H20" s="7">
        <v>6.4</v>
      </c>
      <c r="I20" s="7"/>
      <c r="J20" s="7"/>
      <c r="K20" s="7"/>
      <c r="L20" s="7">
        <v>16.7</v>
      </c>
      <c r="M20" s="7"/>
      <c r="N20" s="7"/>
      <c r="O20" s="7"/>
      <c r="P20" s="7"/>
      <c r="Q20" s="7"/>
      <c r="R20" s="7"/>
      <c r="S20" s="8"/>
      <c r="T20" s="7"/>
      <c r="U20" s="5"/>
    </row>
    <row r="21" spans="1:21" s="3" customFormat="1" ht="12" customHeight="1" x14ac:dyDescent="0.15">
      <c r="A21" s="13" t="s">
        <v>24</v>
      </c>
      <c r="B21" s="7" t="s">
        <v>26</v>
      </c>
      <c r="C21" s="7">
        <v>28.2</v>
      </c>
      <c r="D21" s="7">
        <v>19.3</v>
      </c>
      <c r="E21" s="7">
        <v>18.899999999999999</v>
      </c>
      <c r="F21" s="7">
        <v>18.7</v>
      </c>
      <c r="G21" s="7">
        <v>17.8</v>
      </c>
      <c r="H21" s="7">
        <v>18.7</v>
      </c>
      <c r="I21" s="7">
        <v>17.437898811033442</v>
      </c>
      <c r="J21" s="7">
        <v>18</v>
      </c>
      <c r="K21" s="7">
        <v>18.239999999999998</v>
      </c>
      <c r="L21" s="7">
        <v>17.34</v>
      </c>
      <c r="M21" s="7">
        <v>17.263218009774221</v>
      </c>
      <c r="N21" s="7">
        <v>17.138255558638544</v>
      </c>
      <c r="O21" s="7">
        <v>17.09</v>
      </c>
      <c r="P21" s="7">
        <v>16.98</v>
      </c>
      <c r="Q21" s="7">
        <v>16.998550088039359</v>
      </c>
      <c r="R21" s="7">
        <v>16.28263105285912</v>
      </c>
      <c r="S21" s="7"/>
      <c r="T21" s="7"/>
    </row>
    <row r="22" spans="1:21" ht="12" customHeight="1" x14ac:dyDescent="0.15">
      <c r="A22" s="14" t="s">
        <v>37</v>
      </c>
      <c r="B22" s="7" t="s">
        <v>26</v>
      </c>
      <c r="C22" s="7">
        <v>18.602999540460374</v>
      </c>
      <c r="D22" s="7">
        <v>18.218254202458432</v>
      </c>
      <c r="E22" s="7">
        <v>17.487899637531743</v>
      </c>
      <c r="F22" s="7">
        <v>15.668256923862305</v>
      </c>
      <c r="G22" s="7">
        <v>15.676103754326515</v>
      </c>
      <c r="H22" s="7">
        <v>15.749035159154481</v>
      </c>
      <c r="I22" s="7">
        <v>15.231351028667975</v>
      </c>
      <c r="J22" s="7">
        <v>15.213434370359089</v>
      </c>
      <c r="K22" s="7">
        <v>14.767691076079759</v>
      </c>
      <c r="L22" s="7">
        <v>14.453041352699946</v>
      </c>
      <c r="M22" s="7">
        <v>14.20824972620964</v>
      </c>
      <c r="N22" s="7">
        <v>15.074903685635304</v>
      </c>
      <c r="O22" s="7">
        <v>15.685680215408308</v>
      </c>
      <c r="P22" s="7">
        <v>14.927062921837578</v>
      </c>
      <c r="Q22" s="7">
        <v>14.720679451146587</v>
      </c>
      <c r="R22" s="7">
        <v>14.9</v>
      </c>
      <c r="S22" s="7"/>
      <c r="T22" s="7"/>
    </row>
    <row r="23" spans="1:21" x14ac:dyDescent="0.15">
      <c r="A23" s="12" t="s">
        <v>18</v>
      </c>
      <c r="B23" s="7" t="s">
        <v>28</v>
      </c>
      <c r="C23" s="7"/>
      <c r="D23" s="7"/>
      <c r="E23" s="7"/>
      <c r="F23" s="7">
        <v>6.5</v>
      </c>
      <c r="G23" s="7">
        <v>6.5</v>
      </c>
      <c r="H23" s="7">
        <v>6.9</v>
      </c>
      <c r="I23" s="7"/>
      <c r="J23" s="7"/>
      <c r="K23" s="7"/>
      <c r="L23" s="7">
        <v>7.3</v>
      </c>
      <c r="M23" s="7"/>
      <c r="N23" s="7"/>
      <c r="O23" s="7"/>
      <c r="P23" s="7"/>
      <c r="Q23" s="7"/>
      <c r="R23" s="7"/>
      <c r="S23" s="8"/>
      <c r="T23" s="7"/>
      <c r="U23" s="5"/>
    </row>
    <row r="24" spans="1:21" x14ac:dyDescent="0.15">
      <c r="A24" s="13" t="s">
        <v>24</v>
      </c>
      <c r="B24" s="7" t="s">
        <v>28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</row>
    <row r="25" spans="1:21" ht="12" customHeight="1" x14ac:dyDescent="0.15">
      <c r="A25" s="14" t="s">
        <v>37</v>
      </c>
      <c r="B25" s="7" t="s">
        <v>28</v>
      </c>
      <c r="C25" s="7">
        <v>6.5226775842141178</v>
      </c>
      <c r="D25" s="7">
        <v>5.2661512294840085</v>
      </c>
      <c r="E25" s="7">
        <v>5.7209211468756109</v>
      </c>
      <c r="F25" s="7">
        <v>6.7091959468641074</v>
      </c>
      <c r="G25" s="7">
        <v>7.6001527098103425</v>
      </c>
      <c r="H25" s="7">
        <v>7.6060144696620995</v>
      </c>
      <c r="I25" s="7">
        <v>7.536536676333105</v>
      </c>
      <c r="J25" s="7">
        <v>7.7625883756647998</v>
      </c>
      <c r="K25" s="7">
        <v>8.1404442926914804</v>
      </c>
      <c r="L25" s="7">
        <v>8.2919536979050932</v>
      </c>
      <c r="M25" s="7">
        <v>8.3184494277965211</v>
      </c>
      <c r="N25" s="7">
        <v>8.0236983031489366</v>
      </c>
      <c r="O25" s="7">
        <v>7.9215210838993313</v>
      </c>
      <c r="P25" s="7">
        <v>7.9479267551070976</v>
      </c>
      <c r="Q25" s="7">
        <v>8.0749122323210809</v>
      </c>
      <c r="R25" s="7">
        <v>8.1</v>
      </c>
      <c r="S25" s="7"/>
      <c r="T25" s="7"/>
    </row>
    <row r="26" spans="1:21" x14ac:dyDescent="0.15">
      <c r="A26" s="12" t="s">
        <v>18</v>
      </c>
      <c r="B26" s="7" t="s">
        <v>27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8"/>
      <c r="T26" s="7"/>
      <c r="U26" s="5"/>
    </row>
    <row r="27" spans="1:21" x14ac:dyDescent="0.15">
      <c r="A27" s="13" t="s">
        <v>24</v>
      </c>
      <c r="B27" s="7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</row>
    <row r="28" spans="1:21" ht="12" customHeight="1" x14ac:dyDescent="0.15">
      <c r="A28" s="14" t="s">
        <v>37</v>
      </c>
      <c r="B28" s="7" t="s">
        <v>27</v>
      </c>
      <c r="C28" s="7">
        <v>13.994374120956399</v>
      </c>
      <c r="D28" s="7">
        <v>14.621818981752236</v>
      </c>
      <c r="E28" s="7">
        <v>15.001410804592711</v>
      </c>
      <c r="F28" s="7">
        <v>15.468832060760313</v>
      </c>
      <c r="G28" s="7">
        <v>13.691822768275483</v>
      </c>
      <c r="H28" s="7">
        <v>14.15070400925303</v>
      </c>
      <c r="I28" s="7">
        <v>14.068366097907614</v>
      </c>
      <c r="J28" s="7">
        <v>13.81820951220441</v>
      </c>
      <c r="K28" s="7">
        <v>13.955838349255858</v>
      </c>
      <c r="L28" s="7">
        <v>13.028221652087838</v>
      </c>
      <c r="M28" s="7">
        <v>13.213784334046291</v>
      </c>
      <c r="N28" s="7">
        <v>13.276979392853111</v>
      </c>
      <c r="O28" s="7">
        <v>13.743607170684141</v>
      </c>
      <c r="P28" s="7">
        <v>13.907670593181528</v>
      </c>
      <c r="Q28" s="7">
        <v>14.380468065710378</v>
      </c>
      <c r="R28" s="7">
        <v>14.3</v>
      </c>
      <c r="S28" s="7"/>
      <c r="T28" s="7"/>
    </row>
    <row r="29" spans="1:21" x14ac:dyDescent="0.15">
      <c r="A29" s="12" t="s">
        <v>18</v>
      </c>
      <c r="B29" s="7" t="s">
        <v>29</v>
      </c>
      <c r="C29" s="7"/>
      <c r="D29" s="7"/>
      <c r="E29" s="7"/>
      <c r="F29" s="7">
        <v>29.4</v>
      </c>
      <c r="G29" s="7">
        <v>29.6</v>
      </c>
      <c r="H29" s="7">
        <v>28.8</v>
      </c>
      <c r="I29" s="7"/>
      <c r="J29" s="7"/>
      <c r="K29" s="7"/>
      <c r="L29" s="7">
        <v>63.5</v>
      </c>
      <c r="M29" s="7"/>
      <c r="N29" s="7"/>
      <c r="O29" s="7"/>
      <c r="P29" s="7"/>
      <c r="Q29" s="7"/>
      <c r="R29" s="7"/>
      <c r="S29" s="8"/>
      <c r="T29" s="7"/>
      <c r="U29" s="5"/>
    </row>
    <row r="30" spans="1:21" ht="12" customHeight="1" x14ac:dyDescent="0.15">
      <c r="A30" s="13" t="s">
        <v>24</v>
      </c>
      <c r="B30" s="7" t="s">
        <v>29</v>
      </c>
      <c r="C30" s="7">
        <v>41.1</v>
      </c>
      <c r="D30" s="7">
        <v>46.7</v>
      </c>
      <c r="E30" s="7">
        <v>47.3</v>
      </c>
      <c r="F30" s="7">
        <v>47.5</v>
      </c>
      <c r="G30" s="7">
        <v>44.5</v>
      </c>
      <c r="H30" s="7">
        <v>43.5</v>
      </c>
      <c r="I30" s="7">
        <v>43.454099262770548</v>
      </c>
      <c r="J30" s="7">
        <v>42.4</v>
      </c>
      <c r="K30" s="7">
        <v>42.32</v>
      </c>
      <c r="L30" s="7">
        <v>41.67</v>
      </c>
      <c r="M30" s="7">
        <v>41.624168387056542</v>
      </c>
      <c r="N30" s="7">
        <v>41.573456814591616</v>
      </c>
      <c r="O30" s="7">
        <v>41.25</v>
      </c>
      <c r="P30" s="7">
        <v>41.1</v>
      </c>
      <c r="Q30" s="7">
        <v>40.97272478984457</v>
      </c>
      <c r="R30" s="7">
        <v>41.903690117708038</v>
      </c>
      <c r="S30" s="7"/>
      <c r="T30" s="7"/>
    </row>
    <row r="31" spans="1:21" ht="12" customHeight="1" x14ac:dyDescent="0.15">
      <c r="A31" s="14" t="s">
        <v>37</v>
      </c>
      <c r="B31" s="7" t="s">
        <v>29</v>
      </c>
      <c r="C31" s="7">
        <v>41.474843686900336</v>
      </c>
      <c r="D31" s="7">
        <v>42.323437726353291</v>
      </c>
      <c r="E31" s="7">
        <v>41.413843248757409</v>
      </c>
      <c r="F31" s="7">
        <v>40.946368300628386</v>
      </c>
      <c r="G31" s="7">
        <v>40.282891768499503</v>
      </c>
      <c r="H31" s="7">
        <v>39.459335056474174</v>
      </c>
      <c r="I31" s="7">
        <v>40.315076633231193</v>
      </c>
      <c r="J31" s="7">
        <v>39.982991254458447</v>
      </c>
      <c r="K31" s="7">
        <v>39.709957019561521</v>
      </c>
      <c r="L31" s="7">
        <v>40.007676612593684</v>
      </c>
      <c r="M31" s="7">
        <v>39.835027526037649</v>
      </c>
      <c r="N31" s="7">
        <v>38.99708403733645</v>
      </c>
      <c r="O31" s="7">
        <v>37.530213341783117</v>
      </c>
      <c r="P31" s="7">
        <v>37.833284533435432</v>
      </c>
      <c r="Q31" s="7">
        <v>37.669016187546347</v>
      </c>
      <c r="R31" s="7">
        <v>38.299999999999997</v>
      </c>
      <c r="S31" s="7"/>
      <c r="T31" s="7"/>
    </row>
    <row r="32" spans="1:21" x14ac:dyDescent="0.15">
      <c r="A32" s="12" t="s">
        <v>18</v>
      </c>
      <c r="B32" s="7" t="s">
        <v>31</v>
      </c>
      <c r="C32" s="7"/>
      <c r="D32" s="7"/>
      <c r="E32" s="7"/>
      <c r="F32" s="7">
        <v>6.3</v>
      </c>
      <c r="G32" s="7">
        <v>6.4</v>
      </c>
      <c r="H32" s="7">
        <v>6.9</v>
      </c>
      <c r="I32" s="7"/>
      <c r="J32" s="7"/>
      <c r="K32" s="7"/>
      <c r="L32" s="7">
        <v>10.7</v>
      </c>
      <c r="M32" s="7"/>
      <c r="N32" s="7"/>
      <c r="O32" s="7"/>
      <c r="P32" s="7"/>
      <c r="Q32" s="7"/>
      <c r="R32" s="7"/>
      <c r="S32" s="7"/>
      <c r="T32" s="7"/>
      <c r="U32" s="5"/>
    </row>
    <row r="33" spans="1:21" ht="12" customHeight="1" x14ac:dyDescent="0.15">
      <c r="A33" s="13" t="s">
        <v>24</v>
      </c>
      <c r="B33" s="7" t="s">
        <v>31</v>
      </c>
      <c r="C33" s="7">
        <v>30</v>
      </c>
      <c r="D33" s="7">
        <v>33.799999999999997</v>
      </c>
      <c r="E33" s="7">
        <v>33.6</v>
      </c>
      <c r="F33" s="7">
        <v>33.799999999999997</v>
      </c>
      <c r="G33" s="7">
        <v>37.700000000000003</v>
      </c>
      <c r="H33" s="7">
        <v>37.799999999999997</v>
      </c>
      <c r="I33" s="7">
        <v>39.10800192619601</v>
      </c>
      <c r="J33" s="7">
        <v>37.9</v>
      </c>
      <c r="K33" s="7">
        <v>38.130000000000003</v>
      </c>
      <c r="L33" s="7">
        <v>39.58</v>
      </c>
      <c r="M33" s="7">
        <v>39.607652644258387</v>
      </c>
      <c r="N33" s="7">
        <v>39.786673823242538</v>
      </c>
      <c r="O33" s="7">
        <v>40.08</v>
      </c>
      <c r="P33" s="7">
        <v>40.090000000000003</v>
      </c>
      <c r="Q33" s="7">
        <v>40.124771720675469</v>
      </c>
      <c r="R33" s="7">
        <v>40.125676967087053</v>
      </c>
      <c r="S33" s="7"/>
      <c r="T33" s="7"/>
    </row>
    <row r="34" spans="1:21" ht="12" customHeight="1" x14ac:dyDescent="0.15">
      <c r="A34" s="14" t="s">
        <v>37</v>
      </c>
      <c r="B34" s="7" t="s">
        <v>31</v>
      </c>
      <c r="C34" s="7">
        <v>16.090153319129382</v>
      </c>
      <c r="D34" s="7">
        <v>16.699842793447758</v>
      </c>
      <c r="E34" s="7">
        <v>17.779176524211575</v>
      </c>
      <c r="F34" s="7">
        <v>18.902024731621143</v>
      </c>
      <c r="G34" s="7">
        <v>20.372245938518528</v>
      </c>
      <c r="H34" s="7">
        <v>20.65733102007577</v>
      </c>
      <c r="I34" s="7">
        <v>20.622102464257448</v>
      </c>
      <c r="J34" s="7">
        <v>21.042102991762182</v>
      </c>
      <c r="K34" s="7">
        <v>21.413394301112231</v>
      </c>
      <c r="L34" s="7">
        <v>22.235712409850304</v>
      </c>
      <c r="M34" s="7">
        <v>22.366099975744746</v>
      </c>
      <c r="N34" s="7">
        <v>22.346280252480927</v>
      </c>
      <c r="O34" s="7">
        <v>22.809829305142891</v>
      </c>
      <c r="P34" s="7">
        <v>23.017335225267839</v>
      </c>
      <c r="Q34" s="7">
        <v>22.451951035851508</v>
      </c>
      <c r="R34" s="7">
        <v>21.9</v>
      </c>
      <c r="S34" s="7"/>
      <c r="T34" s="7"/>
    </row>
    <row r="35" spans="1:21" x14ac:dyDescent="0.15">
      <c r="A35" s="12" t="s">
        <v>18</v>
      </c>
      <c r="B35" s="7" t="s">
        <v>30</v>
      </c>
      <c r="C35" s="7"/>
      <c r="D35" s="7"/>
      <c r="E35" s="7"/>
      <c r="F35" s="7">
        <v>1.6</v>
      </c>
      <c r="G35" s="7">
        <v>1.6</v>
      </c>
      <c r="H35" s="7">
        <v>2.1</v>
      </c>
      <c r="I35" s="7"/>
      <c r="J35" s="7"/>
      <c r="K35" s="7"/>
      <c r="L35" s="7">
        <v>0.9</v>
      </c>
      <c r="M35" s="7"/>
      <c r="N35" s="7"/>
      <c r="O35" s="7"/>
      <c r="P35" s="7"/>
      <c r="Q35" s="7"/>
      <c r="R35" s="7"/>
      <c r="S35" s="7"/>
      <c r="T35" s="7"/>
      <c r="U35" s="5"/>
    </row>
    <row r="36" spans="1:21" x14ac:dyDescent="0.15">
      <c r="A36" s="13" t="s">
        <v>24</v>
      </c>
      <c r="B36" s="7" t="s">
        <v>30</v>
      </c>
      <c r="C36" s="7">
        <v>0.7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</row>
    <row r="37" spans="1:21" ht="12" customHeight="1" x14ac:dyDescent="0.15">
      <c r="A37" s="14" t="s">
        <v>37</v>
      </c>
      <c r="B37" s="7" t="s">
        <v>30</v>
      </c>
      <c r="C37" s="7">
        <v>1.7358064920416094</v>
      </c>
      <c r="D37" s="7">
        <v>1.7303451569114545</v>
      </c>
      <c r="E37" s="7">
        <v>1.6065808608078485</v>
      </c>
      <c r="F37" s="7">
        <v>1.4080937847753991</v>
      </c>
      <c r="G37" s="7">
        <v>1.3680779703477934</v>
      </c>
      <c r="H37" s="7">
        <v>1.3767423196308228</v>
      </c>
      <c r="I37" s="7">
        <v>1.261018508629967</v>
      </c>
      <c r="J37" s="7">
        <v>1.2385920820481577</v>
      </c>
      <c r="K37" s="7">
        <v>1.157218891090845</v>
      </c>
      <c r="L37" s="7">
        <v>1.1112906809963436</v>
      </c>
      <c r="M37" s="7">
        <v>1.094058932915849</v>
      </c>
      <c r="N37" s="7">
        <v>1.1662166100375824</v>
      </c>
      <c r="O37" s="7">
        <v>1.1998083490618749</v>
      </c>
      <c r="P37" s="7">
        <v>1.4339662304706562</v>
      </c>
      <c r="Q37" s="7">
        <v>1.7460659932929348</v>
      </c>
      <c r="R37" s="7">
        <v>1.7</v>
      </c>
      <c r="S37" s="7"/>
      <c r="T37" s="7"/>
    </row>
    <row r="38" spans="1:21" ht="12" customHeight="1" x14ac:dyDescent="0.15">
      <c r="A38" s="12" t="s">
        <v>18</v>
      </c>
      <c r="B38" s="7" t="s">
        <v>10</v>
      </c>
      <c r="C38" s="7"/>
      <c r="D38" s="7"/>
      <c r="E38" s="7"/>
      <c r="F38" s="7">
        <v>98885997</v>
      </c>
      <c r="G38" s="7">
        <v>100991962</v>
      </c>
      <c r="H38" s="7">
        <v>104613681</v>
      </c>
      <c r="I38" s="7">
        <v>110808154</v>
      </c>
      <c r="J38" s="7">
        <v>117681244</v>
      </c>
      <c r="K38" s="7">
        <v>127423437</v>
      </c>
      <c r="L38" s="7">
        <v>116273356</v>
      </c>
      <c r="M38" s="7">
        <v>120260177</v>
      </c>
      <c r="N38" s="7">
        <v>120598138</v>
      </c>
      <c r="O38" s="7">
        <v>123368672</v>
      </c>
      <c r="P38" s="7"/>
      <c r="Q38" s="7"/>
      <c r="R38" s="7"/>
      <c r="S38" s="7"/>
      <c r="T38" s="7"/>
    </row>
    <row r="39" spans="1:21" ht="12" customHeight="1" x14ac:dyDescent="0.15">
      <c r="A39" s="13" t="s">
        <v>24</v>
      </c>
      <c r="B39" s="7" t="s">
        <v>10</v>
      </c>
      <c r="C39" s="7">
        <v>11711334</v>
      </c>
      <c r="D39" s="7"/>
      <c r="E39" s="7">
        <v>12405597</v>
      </c>
      <c r="F39" s="7">
        <v>13496173</v>
      </c>
      <c r="G39" s="7">
        <v>13107263</v>
      </c>
      <c r="H39" s="7">
        <v>14662812</v>
      </c>
      <c r="I39" s="7">
        <v>14098563</v>
      </c>
      <c r="J39" s="7">
        <v>13078147</v>
      </c>
      <c r="K39" s="7">
        <v>13363054</v>
      </c>
      <c r="L39" s="7">
        <v>14780001</v>
      </c>
      <c r="M39" s="7">
        <v>15299865</v>
      </c>
      <c r="N39" s="7">
        <v>16322746</v>
      </c>
      <c r="O39" s="7">
        <v>17357056</v>
      </c>
      <c r="P39" s="7">
        <v>17734161</v>
      </c>
      <c r="Q39" s="7">
        <v>17536336</v>
      </c>
      <c r="R39" s="7">
        <v>18070067</v>
      </c>
      <c r="S39" s="7"/>
      <c r="T39" s="7"/>
    </row>
    <row r="40" spans="1:21" x14ac:dyDescent="0.15">
      <c r="A40" s="14" t="s">
        <v>37</v>
      </c>
      <c r="B40" s="7" t="s">
        <v>10</v>
      </c>
      <c r="C40" s="7">
        <v>7225364</v>
      </c>
      <c r="D40" s="7">
        <v>7948618</v>
      </c>
      <c r="E40" s="7">
        <v>8718967</v>
      </c>
      <c r="F40" s="7">
        <v>9741735</v>
      </c>
      <c r="G40" s="7">
        <v>10815999</v>
      </c>
      <c r="H40" s="7">
        <v>11005298</v>
      </c>
      <c r="I40" s="7">
        <v>11464897</v>
      </c>
      <c r="J40" s="7">
        <v>12048834</v>
      </c>
      <c r="K40" s="7">
        <v>12856856</v>
      </c>
      <c r="L40" s="7">
        <v>14012276</v>
      </c>
      <c r="M40" s="7">
        <v>14518326</v>
      </c>
      <c r="N40" s="7">
        <v>14817812</v>
      </c>
      <c r="O40" s="7">
        <v>15151989</v>
      </c>
      <c r="P40" s="7">
        <v>14702546</v>
      </c>
      <c r="Q40" s="7">
        <v>14807280</v>
      </c>
      <c r="R40" s="7">
        <v>15341632</v>
      </c>
      <c r="S40" s="7"/>
      <c r="T40" s="7"/>
    </row>
    <row r="41" spans="1:21" ht="12" customHeight="1" x14ac:dyDescent="0.15">
      <c r="A41" s="12" t="s">
        <v>18</v>
      </c>
      <c r="B41" s="7" t="s">
        <v>9</v>
      </c>
      <c r="C41" s="7"/>
      <c r="D41" s="7"/>
      <c r="E41" s="7"/>
      <c r="F41" s="7">
        <v>96193623</v>
      </c>
      <c r="G41" s="7">
        <v>98238913</v>
      </c>
      <c r="H41" s="7">
        <v>101722458</v>
      </c>
      <c r="I41" s="7">
        <v>107657509</v>
      </c>
      <c r="J41" s="7">
        <v>114144082</v>
      </c>
      <c r="K41" s="7">
        <v>123229386</v>
      </c>
      <c r="L41" s="7">
        <v>112828610</v>
      </c>
      <c r="M41" s="7">
        <v>116431224</v>
      </c>
      <c r="N41" s="7">
        <v>116978631</v>
      </c>
      <c r="O41" s="7">
        <v>119562843</v>
      </c>
      <c r="P41" s="7"/>
      <c r="Q41" s="7"/>
      <c r="R41" s="7"/>
      <c r="S41" s="7"/>
      <c r="T41" s="7"/>
    </row>
    <row r="42" spans="1:21" ht="12" customHeight="1" x14ac:dyDescent="0.15">
      <c r="A42" s="13" t="s">
        <v>24</v>
      </c>
      <c r="B42" s="7" t="s">
        <v>9</v>
      </c>
      <c r="C42" s="7">
        <v>8900567</v>
      </c>
      <c r="D42" s="7"/>
      <c r="E42" s="7">
        <v>9701354</v>
      </c>
      <c r="F42" s="7">
        <v>10507507</v>
      </c>
      <c r="G42" s="7">
        <v>10995977</v>
      </c>
      <c r="H42" s="7">
        <v>11783143</v>
      </c>
      <c r="I42" s="7">
        <v>11414702</v>
      </c>
      <c r="J42" s="7">
        <v>10501166</v>
      </c>
      <c r="K42" s="7">
        <v>10749735</v>
      </c>
      <c r="L42" s="7">
        <v>11747093</v>
      </c>
      <c r="M42" s="7">
        <v>13088802</v>
      </c>
      <c r="N42" s="7">
        <v>13950241</v>
      </c>
      <c r="O42" s="7">
        <v>12060369</v>
      </c>
      <c r="P42" s="7">
        <v>12714916</v>
      </c>
      <c r="Q42" s="7">
        <v>12601726</v>
      </c>
      <c r="R42" s="7">
        <v>12828236</v>
      </c>
      <c r="S42" s="7"/>
      <c r="T42" s="7"/>
    </row>
    <row r="43" spans="1:21" ht="12" customHeight="1" x14ac:dyDescent="0.15">
      <c r="A43" s="14" t="s">
        <v>37</v>
      </c>
      <c r="B43" s="7" t="s">
        <v>9</v>
      </c>
      <c r="C43" s="7">
        <v>2834950</v>
      </c>
      <c r="D43" s="7">
        <v>3347883</v>
      </c>
      <c r="E43" s="7">
        <v>3872711</v>
      </c>
      <c r="F43" s="7">
        <v>4394037</v>
      </c>
      <c r="G43" s="7">
        <v>5060430</v>
      </c>
      <c r="H43" s="7">
        <v>5107958</v>
      </c>
      <c r="I43" s="7">
        <v>5179702</v>
      </c>
      <c r="J43" s="7">
        <v>5321882</v>
      </c>
      <c r="K43" s="7">
        <v>5682980</v>
      </c>
      <c r="L43" s="7">
        <v>6205320</v>
      </c>
      <c r="M43" s="7">
        <v>5538134</v>
      </c>
      <c r="N43" s="7">
        <v>5627952</v>
      </c>
      <c r="O43" s="7">
        <v>5681518</v>
      </c>
      <c r="P43" s="7">
        <v>5332083</v>
      </c>
      <c r="Q43" s="7">
        <v>5341847</v>
      </c>
      <c r="R43" s="7">
        <v>5539889</v>
      </c>
      <c r="S43" s="7"/>
      <c r="T43" s="7"/>
    </row>
    <row r="44" spans="1:21" ht="12" customHeight="1" x14ac:dyDescent="0.15">
      <c r="A44" s="12" t="s">
        <v>18</v>
      </c>
      <c r="B44" s="7" t="s">
        <v>8</v>
      </c>
      <c r="C44" s="7"/>
      <c r="D44" s="7"/>
      <c r="E44" s="7"/>
      <c r="F44" s="7">
        <v>2692374</v>
      </c>
      <c r="G44" s="7">
        <v>2753049</v>
      </c>
      <c r="H44" s="7">
        <v>2891224</v>
      </c>
      <c r="I44" s="7">
        <v>3150645</v>
      </c>
      <c r="J44" s="7">
        <v>3537162</v>
      </c>
      <c r="K44" s="7">
        <v>4194051</v>
      </c>
      <c r="L44" s="7">
        <v>3444746</v>
      </c>
      <c r="M44" s="7">
        <v>3828953</v>
      </c>
      <c r="N44" s="7">
        <v>3619507</v>
      </c>
      <c r="O44" s="7">
        <v>3805829</v>
      </c>
      <c r="P44" s="7"/>
      <c r="Q44" s="7"/>
      <c r="R44" s="7"/>
      <c r="S44" s="7"/>
      <c r="T44" s="7"/>
    </row>
    <row r="45" spans="1:21" x14ac:dyDescent="0.15">
      <c r="A45" s="13" t="s">
        <v>24</v>
      </c>
      <c r="B45" s="7" t="s">
        <v>8</v>
      </c>
      <c r="C45" s="7">
        <v>2810767</v>
      </c>
      <c r="D45" s="7"/>
      <c r="E45" s="7">
        <v>2704243</v>
      </c>
      <c r="F45" s="7">
        <v>2988581</v>
      </c>
      <c r="G45" s="7">
        <v>2111229</v>
      </c>
      <c r="H45" s="7">
        <v>2251547</v>
      </c>
      <c r="I45" s="7">
        <v>2682323</v>
      </c>
      <c r="J45" s="7">
        <v>2575949</v>
      </c>
      <c r="K45" s="7">
        <v>2612287</v>
      </c>
      <c r="L45" s="7">
        <v>3032908</v>
      </c>
      <c r="M45" s="7">
        <v>2211063</v>
      </c>
      <c r="N45" s="7">
        <v>2372491</v>
      </c>
      <c r="O45" s="7">
        <v>5296687</v>
      </c>
      <c r="P45" s="7">
        <v>5019245</v>
      </c>
      <c r="Q45" s="7">
        <v>4934610</v>
      </c>
      <c r="R45" s="7">
        <v>5241831</v>
      </c>
      <c r="S45" s="7"/>
      <c r="T45" s="7"/>
    </row>
    <row r="46" spans="1:21" ht="12" customHeight="1" x14ac:dyDescent="0.15">
      <c r="A46" s="14" t="s">
        <v>37</v>
      </c>
      <c r="B46" s="7" t="s">
        <v>8</v>
      </c>
      <c r="C46" s="7">
        <v>4390414</v>
      </c>
      <c r="D46" s="7">
        <v>4600735</v>
      </c>
      <c r="E46" s="7">
        <v>4846256</v>
      </c>
      <c r="F46" s="7">
        <v>5347698</v>
      </c>
      <c r="G46" s="7">
        <v>5755569</v>
      </c>
      <c r="H46" s="7">
        <v>5897340</v>
      </c>
      <c r="I46" s="7">
        <v>6285195</v>
      </c>
      <c r="J46" s="7">
        <v>6726952</v>
      </c>
      <c r="K46" s="7">
        <v>7173876</v>
      </c>
      <c r="L46" s="7">
        <v>7806956</v>
      </c>
      <c r="M46" s="7">
        <v>8980192</v>
      </c>
      <c r="N46" s="7">
        <v>9189860</v>
      </c>
      <c r="O46" s="7">
        <v>9470471</v>
      </c>
      <c r="P46" s="7">
        <v>9370463</v>
      </c>
      <c r="Q46" s="7">
        <v>9465433</v>
      </c>
      <c r="R46" s="7">
        <v>9801743</v>
      </c>
      <c r="S46" s="7"/>
      <c r="T46" s="7"/>
    </row>
    <row r="47" spans="1:21" x14ac:dyDescent="0.15">
      <c r="A47" s="12" t="s">
        <v>18</v>
      </c>
      <c r="B47" s="7" t="s">
        <v>7</v>
      </c>
      <c r="C47" s="7"/>
      <c r="D47" s="7"/>
      <c r="E47" s="7"/>
      <c r="F47" s="7">
        <v>97.3</v>
      </c>
      <c r="G47" s="7">
        <v>97.3</v>
      </c>
      <c r="H47" s="7">
        <v>97.2</v>
      </c>
      <c r="I47" s="7">
        <v>97.2</v>
      </c>
      <c r="J47" s="7">
        <v>97</v>
      </c>
      <c r="K47" s="7">
        <v>96.7</v>
      </c>
      <c r="L47" s="7">
        <v>97</v>
      </c>
      <c r="M47" s="7">
        <v>96.8</v>
      </c>
      <c r="N47" s="7">
        <v>97</v>
      </c>
      <c r="O47" s="7">
        <v>96.92</v>
      </c>
      <c r="P47" s="7"/>
      <c r="Q47" s="7"/>
      <c r="R47" s="7"/>
      <c r="S47" s="7"/>
      <c r="T47" s="7"/>
      <c r="U47" s="5"/>
    </row>
    <row r="48" spans="1:21" x14ac:dyDescent="0.15">
      <c r="A48" s="13" t="s">
        <v>24</v>
      </c>
      <c r="B48" s="7" t="s">
        <v>7</v>
      </c>
      <c r="C48" s="7">
        <v>76</v>
      </c>
      <c r="D48" s="7"/>
      <c r="E48" s="7">
        <v>78.2</v>
      </c>
      <c r="F48" s="7">
        <v>77.900000000000006</v>
      </c>
      <c r="G48" s="7">
        <v>83.9</v>
      </c>
      <c r="H48" s="7">
        <v>80.959999999999994</v>
      </c>
      <c r="I48" s="7">
        <v>80.959999999999994</v>
      </c>
      <c r="J48" s="7">
        <v>80.3</v>
      </c>
      <c r="K48" s="7">
        <v>80.44</v>
      </c>
      <c r="L48" s="7">
        <v>78.48</v>
      </c>
      <c r="M48" s="7">
        <v>82.22</v>
      </c>
      <c r="N48" s="7">
        <v>85.47</v>
      </c>
      <c r="O48" s="7">
        <v>69.48</v>
      </c>
      <c r="P48" s="7">
        <v>71.7</v>
      </c>
      <c r="Q48" s="7">
        <v>71.860655498389164</v>
      </c>
      <c r="R48" s="7">
        <v>70.99163495077245</v>
      </c>
      <c r="S48" s="7"/>
      <c r="T48" s="7"/>
    </row>
    <row r="49" spans="1:21" ht="12" customHeight="1" x14ac:dyDescent="0.15">
      <c r="A49" s="14" t="s">
        <v>37</v>
      </c>
      <c r="B49" s="7" t="s">
        <v>7</v>
      </c>
      <c r="C49" s="7">
        <v>39.23608554530955</v>
      </c>
      <c r="D49" s="7">
        <v>42.119057677699445</v>
      </c>
      <c r="E49" s="7">
        <v>44.417085189105542</v>
      </c>
      <c r="F49" s="7">
        <v>45.105281554055821</v>
      </c>
      <c r="G49" s="7">
        <v>46.786524296091372</v>
      </c>
      <c r="H49" s="7">
        <v>46.413627327492627</v>
      </c>
      <c r="I49" s="7">
        <v>45.178792273493606</v>
      </c>
      <c r="J49" s="7">
        <v>44.169269823121475</v>
      </c>
      <c r="K49" s="7">
        <v>44.201941749989267</v>
      </c>
      <c r="L49" s="7">
        <v>44.284882769936871</v>
      </c>
      <c r="M49" s="7">
        <v>38.145816535597838</v>
      </c>
      <c r="N49" s="7">
        <v>37.980992065495229</v>
      </c>
      <c r="O49" s="7">
        <v>37.496846123634327</v>
      </c>
      <c r="P49" s="7">
        <v>36.266392228937768</v>
      </c>
      <c r="Q49" s="7">
        <v>36.075815409717379</v>
      </c>
      <c r="R49" s="7">
        <v>36.110167418955164</v>
      </c>
      <c r="S49" s="7"/>
      <c r="T49" s="7"/>
    </row>
    <row r="50" spans="1:21" ht="12" customHeight="1" x14ac:dyDescent="0.15">
      <c r="A50" s="12" t="s">
        <v>18</v>
      </c>
      <c r="B50" s="7" t="s">
        <v>6</v>
      </c>
      <c r="C50" s="7"/>
      <c r="D50" s="7"/>
      <c r="E50" s="7"/>
      <c r="F50" s="7">
        <v>2.3072179293947901</v>
      </c>
      <c r="G50" s="7">
        <v>2.1</v>
      </c>
      <c r="H50" s="7">
        <v>3.5</v>
      </c>
      <c r="I50" s="7">
        <v>5.8</v>
      </c>
      <c r="J50" s="7">
        <v>6</v>
      </c>
      <c r="K50" s="7">
        <v>8</v>
      </c>
      <c r="L50" s="7">
        <v>-8.4</v>
      </c>
      <c r="M50" s="7">
        <v>3.2</v>
      </c>
      <c r="N50" s="7">
        <v>0.5</v>
      </c>
      <c r="O50" s="7">
        <v>2.2000000000000002</v>
      </c>
      <c r="P50" s="7"/>
      <c r="Q50" s="7"/>
      <c r="R50" s="7"/>
      <c r="S50" s="7"/>
      <c r="T50" s="7"/>
    </row>
    <row r="51" spans="1:21" ht="12" customHeight="1" x14ac:dyDescent="0.15">
      <c r="A51" s="13" t="s">
        <v>24</v>
      </c>
      <c r="B51" s="7" t="s">
        <v>6</v>
      </c>
      <c r="C51" s="7">
        <v>3.1</v>
      </c>
      <c r="D51" s="7"/>
      <c r="E51" s="7"/>
      <c r="F51" s="7">
        <v>8.3000000000000007</v>
      </c>
      <c r="G51" s="7">
        <v>4.5999999999999996</v>
      </c>
      <c r="H51" s="7">
        <v>0.47178163431953341</v>
      </c>
      <c r="I51" s="7">
        <v>3.3205362779051928</v>
      </c>
      <c r="J51" s="7">
        <v>2.6</v>
      </c>
      <c r="K51" s="7">
        <v>2.37</v>
      </c>
      <c r="L51" s="7">
        <v>9.26</v>
      </c>
      <c r="M51" s="7">
        <v>3.34</v>
      </c>
      <c r="N51" s="7">
        <v>4.7</v>
      </c>
      <c r="O51" s="7">
        <v>3.3</v>
      </c>
      <c r="P51" s="7">
        <v>5.43</v>
      </c>
      <c r="Q51" s="7">
        <v>-0.89021429634297533</v>
      </c>
      <c r="R51" s="7">
        <v>1.7974521902793299</v>
      </c>
      <c r="S51" s="7"/>
      <c r="T51" s="7"/>
    </row>
    <row r="52" spans="1:21" ht="12" customHeight="1" x14ac:dyDescent="0.15">
      <c r="A52" s="14" t="s">
        <v>37</v>
      </c>
      <c r="B52" s="7" t="s">
        <v>6</v>
      </c>
      <c r="C52" s="7">
        <v>16.2</v>
      </c>
      <c r="D52" s="7">
        <v>18.093193883490002</v>
      </c>
      <c r="E52" s="7">
        <v>15.676414020442181</v>
      </c>
      <c r="F52" s="7">
        <v>13.461526047257337</v>
      </c>
      <c r="G52" s="7">
        <v>15.165848626217752</v>
      </c>
      <c r="H52" s="7">
        <v>0.93920872336936156</v>
      </c>
      <c r="I52" s="7">
        <v>1.4045534438615164</v>
      </c>
      <c r="J52" s="7">
        <v>2.7449455586441047</v>
      </c>
      <c r="K52" s="7">
        <v>6.7851560782444977</v>
      </c>
      <c r="L52" s="7">
        <v>9.1913045620431575</v>
      </c>
      <c r="M52" s="7">
        <v>-10.751838744818969</v>
      </c>
      <c r="N52" s="7">
        <v>1.6218098009184985</v>
      </c>
      <c r="O52" s="7">
        <v>0.95178494770389932</v>
      </c>
      <c r="P52" s="7">
        <v>-6.1503809369256572</v>
      </c>
      <c r="Q52" s="7">
        <v>0.18311792970963836</v>
      </c>
      <c r="R52" s="7">
        <v>3.7073693799167216</v>
      </c>
      <c r="S52" s="7"/>
      <c r="T52" s="7"/>
    </row>
    <row r="53" spans="1:21" ht="12" customHeight="1" x14ac:dyDescent="0.15">
      <c r="A53" s="12" t="s">
        <v>18</v>
      </c>
      <c r="B53" s="7" t="s">
        <v>5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>
        <v>38.664180744397697</v>
      </c>
      <c r="O53" s="7">
        <v>38.5</v>
      </c>
      <c r="P53" s="7"/>
      <c r="Q53" s="7"/>
      <c r="R53" s="7"/>
      <c r="S53" s="7"/>
      <c r="T53" s="7"/>
    </row>
    <row r="54" spans="1:21" x14ac:dyDescent="0.15">
      <c r="A54" s="13" t="s">
        <v>24</v>
      </c>
      <c r="B54" s="7" t="s">
        <v>5</v>
      </c>
      <c r="C54" s="7"/>
      <c r="D54" s="7"/>
      <c r="E54" s="7"/>
      <c r="F54" s="7"/>
      <c r="G54" s="7"/>
      <c r="H54" s="7">
        <v>45.8</v>
      </c>
      <c r="I54" s="7">
        <v>46.2</v>
      </c>
      <c r="J54" s="7">
        <v>46</v>
      </c>
      <c r="K54" s="7">
        <v>46.2</v>
      </c>
      <c r="L54" s="7">
        <v>45.5</v>
      </c>
      <c r="M54" s="7">
        <v>45.3</v>
      </c>
      <c r="N54" s="7">
        <v>45.6</v>
      </c>
      <c r="O54" s="7">
        <v>45.6</v>
      </c>
      <c r="P54" s="7"/>
      <c r="Q54" s="7"/>
      <c r="R54" s="7"/>
      <c r="S54" s="7"/>
      <c r="T54" s="7"/>
    </row>
    <row r="55" spans="1:21" x14ac:dyDescent="0.15">
      <c r="A55" s="14" t="s">
        <v>37</v>
      </c>
      <c r="B55" s="7" t="s">
        <v>5</v>
      </c>
      <c r="C55" s="7"/>
      <c r="D55" s="7"/>
      <c r="E55" s="7"/>
      <c r="F55" s="7">
        <v>48.406373283586653</v>
      </c>
      <c r="G55" s="7">
        <v>48.314466158245942</v>
      </c>
      <c r="H55" s="7">
        <v>48.467593889044466</v>
      </c>
      <c r="I55" s="7">
        <v>48.60882856584648</v>
      </c>
      <c r="J55" s="7">
        <v>48.760913460171203</v>
      </c>
      <c r="K55" s="7">
        <v>48.49224072672218</v>
      </c>
      <c r="L55" s="7">
        <v>48.5152749949346</v>
      </c>
      <c r="M55" s="7">
        <v>46.14</v>
      </c>
      <c r="N55" s="7">
        <v>46.69</v>
      </c>
      <c r="O55" s="7">
        <v>47.3</v>
      </c>
      <c r="P55" s="7">
        <v>46.690389542056188</v>
      </c>
      <c r="Q55" s="7">
        <v>47.63</v>
      </c>
      <c r="R55" s="7"/>
      <c r="S55" s="7"/>
      <c r="T55" s="7"/>
    </row>
    <row r="56" spans="1:21" ht="12" customHeight="1" x14ac:dyDescent="0.15">
      <c r="A56" s="12" t="s">
        <v>18</v>
      </c>
      <c r="B56" s="7" t="s">
        <v>41</v>
      </c>
      <c r="C56" s="7"/>
      <c r="D56" s="7"/>
      <c r="E56" s="7"/>
      <c r="F56" s="7">
        <f>2969346*1000</f>
        <v>2969346000</v>
      </c>
      <c r="G56" s="7">
        <f>3411575*1000</f>
        <v>3411575000</v>
      </c>
      <c r="H56" s="7">
        <v>4321830000</v>
      </c>
      <c r="I56" s="7">
        <v>4869568000</v>
      </c>
      <c r="J56" s="7">
        <v>5440008000</v>
      </c>
      <c r="K56" s="7">
        <v>6228285000</v>
      </c>
      <c r="L56" s="7">
        <v>7009283000</v>
      </c>
      <c r="M56" s="7">
        <v>7820283000</v>
      </c>
      <c r="N56" s="7">
        <v>8573895000</v>
      </c>
      <c r="O56" s="7">
        <v>9580763000</v>
      </c>
      <c r="P56" s="7"/>
      <c r="Q56" s="7"/>
      <c r="R56" s="7"/>
      <c r="S56" s="7"/>
      <c r="T56" s="7"/>
    </row>
    <row r="57" spans="1:21" ht="12" customHeight="1" x14ac:dyDescent="0.15">
      <c r="A57" s="13" t="s">
        <v>24</v>
      </c>
      <c r="B57" s="7" t="s">
        <v>19</v>
      </c>
      <c r="C57" s="7">
        <v>3758130.3866045903</v>
      </c>
      <c r="D57" s="7">
        <v>3863742.8520928137</v>
      </c>
      <c r="E57" s="7">
        <v>3858145.9653163347</v>
      </c>
      <c r="F57" s="7">
        <v>4258542.2458883626</v>
      </c>
      <c r="G57" s="7">
        <v>3268112.8467708444</v>
      </c>
      <c r="H57" s="7">
        <v>3793479.6803995944</v>
      </c>
      <c r="I57" s="7">
        <v>4245831.2870221324</v>
      </c>
      <c r="J57" s="7">
        <v>4223831.8455085754</v>
      </c>
      <c r="K57" s="7">
        <v>4366685.0119498353</v>
      </c>
      <c r="L57" s="7">
        <v>4785813.9284505323</v>
      </c>
      <c r="M57" s="7">
        <v>5261195.845875944</v>
      </c>
      <c r="N57" s="7">
        <v>5654320.1000964884</v>
      </c>
      <c r="O57" s="7">
        <v>5920897.9334870744</v>
      </c>
      <c r="P57" s="7">
        <v>5352288.4520179983</v>
      </c>
      <c r="Q57" s="7">
        <v>5577093.3135520909</v>
      </c>
      <c r="R57" s="7">
        <v>6106810.0947138835</v>
      </c>
      <c r="S57" s="7"/>
      <c r="T57" s="7"/>
    </row>
    <row r="58" spans="1:21" x14ac:dyDescent="0.15">
      <c r="A58" s="14" t="s">
        <v>37</v>
      </c>
      <c r="B58" s="7" t="s">
        <v>35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</row>
    <row r="59" spans="1:21" ht="12" customHeight="1" x14ac:dyDescent="0.15">
      <c r="A59" s="12" t="s">
        <v>18</v>
      </c>
      <c r="B59" s="7" t="s">
        <v>40</v>
      </c>
      <c r="C59" s="7"/>
      <c r="D59" s="7"/>
      <c r="E59" s="7"/>
      <c r="F59" s="7">
        <f t="shared" ref="F59:O59" si="0">F56/$T$89</f>
        <v>187276.06727437559</v>
      </c>
      <c r="G59" s="7">
        <f t="shared" si="0"/>
        <v>215167.36318757662</v>
      </c>
      <c r="H59" s="7">
        <f t="shared" si="0"/>
        <v>272576.96672210464</v>
      </c>
      <c r="I59" s="7">
        <f t="shared" si="0"/>
        <v>307122.69448058482</v>
      </c>
      <c r="J59" s="7">
        <f t="shared" si="0"/>
        <v>343100.23290688969</v>
      </c>
      <c r="K59" s="7">
        <f t="shared" si="0"/>
        <v>392816.70801044552</v>
      </c>
      <c r="L59" s="7">
        <f t="shared" si="0"/>
        <v>442074.09801792621</v>
      </c>
      <c r="M59" s="7">
        <f t="shared" si="0"/>
        <v>493223.70825516985</v>
      </c>
      <c r="N59" s="7">
        <f t="shared" si="0"/>
        <v>540753.86863754923</v>
      </c>
      <c r="O59" s="7">
        <f t="shared" si="0"/>
        <v>604256.83504982188</v>
      </c>
      <c r="P59" s="7"/>
      <c r="Q59" s="7"/>
      <c r="R59" s="7"/>
      <c r="S59" s="7"/>
      <c r="T59" s="7"/>
    </row>
    <row r="60" spans="1:21" ht="12" customHeight="1" x14ac:dyDescent="0.15">
      <c r="A60" s="13" t="s">
        <v>24</v>
      </c>
      <c r="B60" s="7" t="s">
        <v>40</v>
      </c>
      <c r="C60" s="7">
        <f t="shared" ref="C60:R60" si="1">C57/$T$88</f>
        <v>106482.10950117762</v>
      </c>
      <c r="D60" s="7">
        <f t="shared" si="1"/>
        <v>109474.51182838021</v>
      </c>
      <c r="E60" s="7">
        <f t="shared" si="1"/>
        <v>109315.93076564674</v>
      </c>
      <c r="F60" s="7">
        <f t="shared" si="1"/>
        <v>120660.67834111737</v>
      </c>
      <c r="G60" s="7">
        <f t="shared" si="1"/>
        <v>92598.051215159328</v>
      </c>
      <c r="H60" s="7">
        <f t="shared" si="1"/>
        <v>107483.68927235466</v>
      </c>
      <c r="I60" s="7">
        <f t="shared" si="1"/>
        <v>120300.5285925394</v>
      </c>
      <c r="J60" s="7">
        <f t="shared" si="1"/>
        <v>119677.20084729642</v>
      </c>
      <c r="K60" s="7">
        <f t="shared" si="1"/>
        <v>123724.77369516969</v>
      </c>
      <c r="L60" s="7">
        <f t="shared" si="1"/>
        <v>135600.28800436304</v>
      </c>
      <c r="M60" s="7">
        <f t="shared" si="1"/>
        <v>149069.66351262116</v>
      </c>
      <c r="N60" s="7">
        <f t="shared" si="1"/>
        <v>160208.36695800672</v>
      </c>
      <c r="O60" s="7">
        <f t="shared" si="1"/>
        <v>167761.52960155439</v>
      </c>
      <c r="P60" s="7">
        <f t="shared" si="1"/>
        <v>151650.66306935271</v>
      </c>
      <c r="Q60" s="7">
        <f t="shared" si="1"/>
        <v>158020.23874123293</v>
      </c>
      <c r="R60" s="7">
        <f t="shared" si="1"/>
        <v>173029.12733576694</v>
      </c>
      <c r="S60" s="7"/>
      <c r="T60" s="7"/>
    </row>
    <row r="61" spans="1:21" ht="12" customHeight="1" x14ac:dyDescent="0.15">
      <c r="A61" s="14" t="s">
        <v>37</v>
      </c>
      <c r="B61" s="7" t="s">
        <v>40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5"/>
    </row>
    <row r="62" spans="1:21" ht="12" customHeight="1" x14ac:dyDescent="0.15">
      <c r="A62" s="12" t="s">
        <v>18</v>
      </c>
      <c r="B62" s="7" t="s">
        <v>39</v>
      </c>
      <c r="C62" s="7">
        <f>127226102177.005/1000000</f>
        <v>127226.102177005</v>
      </c>
      <c r="D62" s="7">
        <f>152090401421.802/1000000</f>
        <v>152090.401421802</v>
      </c>
      <c r="E62" s="7">
        <f>130357798591.185/1000000</f>
        <v>130357.798591185</v>
      </c>
      <c r="F62" s="7">
        <f>183480562954.661/1000000</f>
        <v>183480.562954661</v>
      </c>
      <c r="G62" s="7">
        <f>235095129124.143/1000000</f>
        <v>235095.12912414302</v>
      </c>
      <c r="H62" s="7">
        <f>225744403275.679/1000000</f>
        <v>225744.40327567898</v>
      </c>
      <c r="I62" s="7">
        <f>218308408827.835/1000000</f>
        <v>218308.408827835</v>
      </c>
      <c r="J62" s="7">
        <f>210820082826.476/1000000</f>
        <v>210820.08282647602</v>
      </c>
      <c r="K62" s="7">
        <f>182158298808.695/1000000</f>
        <v>182158.29880869502</v>
      </c>
      <c r="L62" s="7">
        <f>177886012744.197/1000000</f>
        <v>177886.01274419698</v>
      </c>
      <c r="M62" s="7">
        <f>204924485910.841/1000000</f>
        <v>204924.485910841</v>
      </c>
      <c r="N62" s="7">
        <f>218905647879.176/1000000</f>
        <v>218905.64787917599</v>
      </c>
      <c r="O62" s="7">
        <f>208057763665.869/1000000</f>
        <v>208057.76366586899</v>
      </c>
      <c r="P62" s="7">
        <f>183546577019.641/1000000</f>
        <v>183546.577019641</v>
      </c>
      <c r="Q62" s="7">
        <f>254109508151.117/1000000</f>
        <v>254109.50815111701</v>
      </c>
      <c r="R62" s="7">
        <f>323223074349.606/1000000</f>
        <v>323223.074349606</v>
      </c>
      <c r="S62" s="7">
        <f>298182855809.878/1000000</f>
        <v>298182.85580987798</v>
      </c>
      <c r="T62" s="7"/>
      <c r="U62" s="5"/>
    </row>
    <row r="63" spans="1:21" ht="12" customHeight="1" x14ac:dyDescent="0.15">
      <c r="A63" s="13" t="s">
        <v>24</v>
      </c>
      <c r="B63" s="7" t="s">
        <v>39</v>
      </c>
      <c r="C63" s="7">
        <f>181094565788.388/1000000</f>
        <v>181094.56578838799</v>
      </c>
      <c r="D63" s="7">
        <f>208095289025.846/1000000</f>
        <v>208095.289025846</v>
      </c>
      <c r="E63" s="7">
        <f>181530421334.516/1000000</f>
        <v>181530.421334516</v>
      </c>
      <c r="F63" s="7">
        <f>226787505595.978/1000000</f>
        <v>226787.505595978</v>
      </c>
      <c r="G63" s="7">
        <f>262743281924.973/1000000</f>
        <v>262743.28192497301</v>
      </c>
      <c r="H63" s="7">
        <f>274121377628.712/1000000</f>
        <v>274121.37762871198</v>
      </c>
      <c r="I63" s="7">
        <f>282342912104.28/1000000</f>
        <v>282342.91210428003</v>
      </c>
      <c r="J63" s="7">
        <f>278596013717.189/1000000</f>
        <v>278596.01371718902</v>
      </c>
      <c r="K63" s="7">
        <f>271423493717.844/1000000</f>
        <v>271423.49371784402</v>
      </c>
      <c r="L63" s="7">
        <f>277248464807.286/1000000</f>
        <v>277248.46480728599</v>
      </c>
      <c r="M63" s="7">
        <f>304266013738.262/1000000</f>
        <v>304266.013738262</v>
      </c>
      <c r="N63" s="7">
        <f>328569784686.743/1000000</f>
        <v>328569.78468674299</v>
      </c>
      <c r="O63" s="7">
        <f>323768892197.357/1000000</f>
        <v>323768.89219735697</v>
      </c>
      <c r="P63" s="7">
        <f>257709985018.377/1000000</f>
        <v>257709.98501837702</v>
      </c>
      <c r="Q63" s="7">
        <f>296424506130.06/1000000</f>
        <v>296424.50613006001</v>
      </c>
      <c r="R63" s="7">
        <f>323968095968.786/1000000</f>
        <v>323968.09596878599</v>
      </c>
      <c r="S63" s="7">
        <f>337035150288.966/1000000</f>
        <v>337035.15028896602</v>
      </c>
      <c r="T63" s="7"/>
      <c r="U63" s="5"/>
    </row>
    <row r="64" spans="1:21" ht="12" customHeight="1" x14ac:dyDescent="0.15">
      <c r="A64" s="14" t="s">
        <v>37</v>
      </c>
      <c r="B64" s="7" t="s">
        <v>39</v>
      </c>
      <c r="C64" s="7">
        <f>54591007520.8979/1000000</f>
        <v>54591.007520897903</v>
      </c>
      <c r="D64" s="7">
        <f>69724976613.6576/1000000</f>
        <v>69724.976613657593</v>
      </c>
      <c r="E64" s="7">
        <f>66374595300.6651/1000000</f>
        <v>66374.595300665096</v>
      </c>
      <c r="F64" s="7">
        <f>79747480852.5913/1000000</f>
        <v>79747.480852591296</v>
      </c>
      <c r="G64" s="7">
        <f>105593919857.801/1000000</f>
        <v>105593.919857801</v>
      </c>
      <c r="H64" s="7">
        <f>124149069364.151/1000000</f>
        <v>124149.069364151</v>
      </c>
      <c r="I64" s="7">
        <f>142758439316.462/1000000</f>
        <v>142758.439316462</v>
      </c>
      <c r="J64" s="7">
        <f>162478898406.019/1000000</f>
        <v>162478.89840601903</v>
      </c>
      <c r="K64" s="7">
        <f>174473996313.378/1000000</f>
        <v>174473.99631337798</v>
      </c>
      <c r="L64" s="7">
        <f>190526869544.715/1000000</f>
        <v>190526.86954471501</v>
      </c>
      <c r="M64" s="7">
        <f>230041803530.193/1000000</f>
        <v>230041.80353019299</v>
      </c>
      <c r="N64" s="7">
        <f>261802606599.094/1000000</f>
        <v>261802.606599094</v>
      </c>
      <c r="O64" s="7">
        <f>284737397482.99/1000000</f>
        <v>284737.39748299</v>
      </c>
      <c r="P64" s="7">
        <f>292479899128.742/1000000</f>
        <v>292479.89912874199</v>
      </c>
      <c r="Q64" s="7">
        <f>343937314545.795/1000000</f>
        <v>343937.31454579497</v>
      </c>
      <c r="R64" s="7">
        <f>384931694296.977/1000000</f>
        <v>384931.69429697702</v>
      </c>
      <c r="S64" s="7">
        <f>374613210401.71/1000000</f>
        <v>374613.21040171001</v>
      </c>
      <c r="T64" s="7"/>
    </row>
    <row r="65" spans="1:21" ht="12" customHeight="1" x14ac:dyDescent="0.15">
      <c r="A65" s="12" t="s">
        <v>18</v>
      </c>
      <c r="B65" s="7" t="s">
        <v>4</v>
      </c>
      <c r="C65" s="7"/>
      <c r="D65" s="7"/>
      <c r="E65" s="7"/>
      <c r="F65" s="7">
        <v>56.2</v>
      </c>
      <c r="G65" s="7">
        <v>56.2</v>
      </c>
      <c r="H65" s="7">
        <v>58</v>
      </c>
      <c r="I65" s="7">
        <v>59.1</v>
      </c>
      <c r="J65" s="7">
        <v>60.3</v>
      </c>
      <c r="K65" s="7">
        <v>61.4</v>
      </c>
      <c r="L65" s="7">
        <v>59.8</v>
      </c>
      <c r="M65" s="7">
        <v>60.9</v>
      </c>
      <c r="N65" s="7">
        <v>61.1</v>
      </c>
      <c r="O65" s="7">
        <v>60.5</v>
      </c>
      <c r="P65" s="7"/>
      <c r="Q65" s="7"/>
      <c r="R65" s="7"/>
      <c r="S65" s="7"/>
      <c r="T65" s="7"/>
      <c r="U65" s="5"/>
    </row>
    <row r="66" spans="1:21" ht="12" customHeight="1" x14ac:dyDescent="0.15">
      <c r="A66" s="13" t="s">
        <v>24</v>
      </c>
      <c r="B66" s="7" t="s">
        <v>4</v>
      </c>
      <c r="C66" s="7">
        <v>41.405969090322039</v>
      </c>
      <c r="D66" s="7">
        <v>39.803967373129169</v>
      </c>
      <c r="E66" s="7">
        <v>39.944911293829001</v>
      </c>
      <c r="F66" s="7">
        <v>39.401231625670846</v>
      </c>
      <c r="G66" s="7">
        <v>28.903688124504122</v>
      </c>
      <c r="H66" s="7">
        <v>30.6981847746837</v>
      </c>
      <c r="I66" s="7">
        <v>32.874791675193848</v>
      </c>
      <c r="J66" s="7">
        <v>31.92544028672194</v>
      </c>
      <c r="K66" s="7">
        <v>31.772814551542321</v>
      </c>
      <c r="L66" s="7">
        <v>32.801256944582789</v>
      </c>
      <c r="M66" s="7">
        <v>33.968041697308074</v>
      </c>
      <c r="N66" s="7">
        <v>34.533693578009625</v>
      </c>
      <c r="O66" s="7">
        <v>35.057356466853115</v>
      </c>
      <c r="P66" s="7">
        <v>34.175586205619936</v>
      </c>
      <c r="Q66" s="7">
        <v>34.497633073627618</v>
      </c>
      <c r="R66" s="7">
        <v>35.15674798381486</v>
      </c>
      <c r="S66" s="7"/>
      <c r="T66" s="7"/>
      <c r="U66" s="5"/>
    </row>
    <row r="67" spans="1:21" x14ac:dyDescent="0.15">
      <c r="A67" s="14" t="s">
        <v>37</v>
      </c>
      <c r="B67" s="7" t="s">
        <v>4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</row>
    <row r="68" spans="1:21" ht="12" customHeight="1" x14ac:dyDescent="0.15">
      <c r="A68" s="12" t="s">
        <v>18</v>
      </c>
      <c r="B68" s="7" t="s">
        <v>3</v>
      </c>
      <c r="C68" s="7"/>
      <c r="D68" s="7"/>
      <c r="E68" s="7"/>
      <c r="F68" s="7">
        <v>13.6276081747235</v>
      </c>
      <c r="G68" s="7">
        <v>14.9</v>
      </c>
      <c r="H68" s="7">
        <v>26.7</v>
      </c>
      <c r="I68" s="7">
        <v>12.7</v>
      </c>
      <c r="J68" s="7">
        <v>11.7</v>
      </c>
      <c r="K68" s="7">
        <v>14.5</v>
      </c>
      <c r="L68" s="7">
        <v>12.5</v>
      </c>
      <c r="M68" s="7">
        <v>11.6</v>
      </c>
      <c r="N68" s="7">
        <v>9.6</v>
      </c>
      <c r="O68" s="7">
        <v>6.7</v>
      </c>
      <c r="P68" s="7"/>
      <c r="Q68" s="7"/>
      <c r="R68" s="7"/>
      <c r="S68" s="7"/>
      <c r="T68" s="7"/>
      <c r="U68" s="5"/>
    </row>
    <row r="69" spans="1:21" ht="12" customHeight="1" x14ac:dyDescent="0.15">
      <c r="A69" s="13" t="s">
        <v>24</v>
      </c>
      <c r="B69" s="7" t="s">
        <v>3</v>
      </c>
      <c r="C69" s="7"/>
      <c r="D69" s="7">
        <v>2.810239524010834</v>
      </c>
      <c r="E69" s="7">
        <v>-0.14485660642367496</v>
      </c>
      <c r="F69" s="7">
        <v>10.377945369912899</v>
      </c>
      <c r="G69" s="7">
        <v>4.400336797809131</v>
      </c>
      <c r="H69" s="7">
        <v>24.095135701195986</v>
      </c>
      <c r="I69" s="7">
        <v>15.312963370387706</v>
      </c>
      <c r="J69" s="7">
        <v>-4.6467895537147257</v>
      </c>
      <c r="K69" s="7">
        <v>3.2851389856038935</v>
      </c>
      <c r="L69" s="7">
        <v>5.7180636386083421</v>
      </c>
      <c r="M69" s="7">
        <v>7.1212952695827596</v>
      </c>
      <c r="N69" s="7">
        <v>5.533127146362375</v>
      </c>
      <c r="O69" s="7">
        <v>2.9641293759746361</v>
      </c>
      <c r="P69" s="7">
        <v>-9.4884283978146584</v>
      </c>
      <c r="Q69" s="7">
        <v>2.8368432054183046</v>
      </c>
      <c r="R69" s="7">
        <v>4.4720598664894453</v>
      </c>
      <c r="S69" s="7"/>
      <c r="T69" s="7"/>
      <c r="U69" s="5"/>
    </row>
    <row r="70" spans="1:21" x14ac:dyDescent="0.15">
      <c r="A70" s="14" t="s">
        <v>37</v>
      </c>
      <c r="B70" s="7" t="s">
        <v>3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</row>
    <row r="71" spans="1:21" ht="12" customHeight="1" x14ac:dyDescent="0.15">
      <c r="A71" s="12" t="s">
        <v>18</v>
      </c>
      <c r="B71" s="7" t="s">
        <v>45</v>
      </c>
      <c r="C71" s="7"/>
      <c r="D71" s="7">
        <f>(D62/C62-1)*100</f>
        <v>19.543394648846668</v>
      </c>
      <c r="E71" s="7">
        <f t="shared" ref="E71:S71" si="2">(E62/D62-1)*100</f>
        <v>-14.289266533227563</v>
      </c>
      <c r="F71" s="7">
        <f t="shared" si="2"/>
        <v>40.751504656866963</v>
      </c>
      <c r="G71" s="7">
        <f t="shared" si="2"/>
        <v>28.130808701647723</v>
      </c>
      <c r="H71" s="7">
        <f t="shared" si="2"/>
        <v>-3.9774221964106848</v>
      </c>
      <c r="I71" s="7">
        <f t="shared" si="2"/>
        <v>-3.2939883957003979</v>
      </c>
      <c r="J71" s="7">
        <f t="shared" si="2"/>
        <v>-3.4301592144645787</v>
      </c>
      <c r="K71" s="7">
        <f t="shared" si="2"/>
        <v>-13.595376509443946</v>
      </c>
      <c r="L71" s="7">
        <f t="shared" si="2"/>
        <v>-2.3453699844797393</v>
      </c>
      <c r="M71" s="7">
        <f t="shared" si="2"/>
        <v>15.199887135322875</v>
      </c>
      <c r="N71" s="7">
        <f t="shared" si="2"/>
        <v>6.8225921886259755</v>
      </c>
      <c r="O71" s="7">
        <f t="shared" si="2"/>
        <v>-4.9555067758208065</v>
      </c>
      <c r="P71" s="7">
        <f t="shared" si="2"/>
        <v>-11.780952661584788</v>
      </c>
      <c r="Q71" s="7">
        <f t="shared" si="2"/>
        <v>38.444155307742498</v>
      </c>
      <c r="R71" s="7">
        <f t="shared" si="2"/>
        <v>27.198339291337213</v>
      </c>
      <c r="S71" s="7">
        <f t="shared" si="2"/>
        <v>-7.7470392824257051</v>
      </c>
      <c r="T71" s="7"/>
    </row>
    <row r="72" spans="1:21" ht="12" customHeight="1" x14ac:dyDescent="0.15">
      <c r="A72" s="13" t="s">
        <v>24</v>
      </c>
      <c r="B72" s="7" t="s">
        <v>45</v>
      </c>
      <c r="C72" s="7"/>
      <c r="D72" s="7">
        <f>(D63/C63-1)*100</f>
        <v>14.909736865880774</v>
      </c>
      <c r="E72" s="7">
        <f t="shared" ref="E72:S72" si="3">(E63/D63-1)*100</f>
        <v>-12.765722768491205</v>
      </c>
      <c r="F72" s="7">
        <f t="shared" si="3"/>
        <v>24.930853974091939</v>
      </c>
      <c r="G72" s="7">
        <f t="shared" si="3"/>
        <v>15.854390317714518</v>
      </c>
      <c r="H72" s="7">
        <f t="shared" si="3"/>
        <v>4.3304991931203851</v>
      </c>
      <c r="I72" s="7">
        <f t="shared" si="3"/>
        <v>2.9992314159108746</v>
      </c>
      <c r="J72" s="7">
        <f t="shared" si="3"/>
        <v>-1.327073649260635</v>
      </c>
      <c r="K72" s="7">
        <f t="shared" si="3"/>
        <v>-2.5745235560427071</v>
      </c>
      <c r="L72" s="7">
        <f t="shared" si="3"/>
        <v>2.1460821278416198</v>
      </c>
      <c r="M72" s="7">
        <f>(M63/L63-1)*100</f>
        <v>9.7448867569945854</v>
      </c>
      <c r="N72" s="7">
        <f t="shared" si="3"/>
        <v>7.9876719223027415</v>
      </c>
      <c r="O72" s="7">
        <f t="shared" si="3"/>
        <v>-1.4611485027338</v>
      </c>
      <c r="P72" s="7">
        <f t="shared" si="3"/>
        <v>-20.403105045284274</v>
      </c>
      <c r="Q72" s="7">
        <f t="shared" si="3"/>
        <v>15.022514982848767</v>
      </c>
      <c r="R72" s="7">
        <f t="shared" si="3"/>
        <v>9.2919408716635843</v>
      </c>
      <c r="S72" s="7">
        <f t="shared" si="3"/>
        <v>4.0334386264501365</v>
      </c>
      <c r="T72" s="7"/>
      <c r="U72" s="5"/>
    </row>
    <row r="73" spans="1:21" ht="12" customHeight="1" x14ac:dyDescent="0.15">
      <c r="A73" s="14" t="s">
        <v>37</v>
      </c>
      <c r="B73" s="7" t="s">
        <v>45</v>
      </c>
      <c r="C73" s="7">
        <v>22.470629610338744</v>
      </c>
      <c r="D73" s="7">
        <f>(D64/C64-1)*100</f>
        <v>27.72245792856318</v>
      </c>
      <c r="E73" s="7">
        <f t="shared" ref="E73:S73" si="4">(E64/D64-1)*100</f>
        <v>-4.8051379515790753</v>
      </c>
      <c r="F73" s="7">
        <f t="shared" si="4"/>
        <v>20.147596367781095</v>
      </c>
      <c r="G73" s="7">
        <f t="shared" si="4"/>
        <v>32.41035168619981</v>
      </c>
      <c r="H73" s="7">
        <f t="shared" si="4"/>
        <v>17.572176060266976</v>
      </c>
      <c r="I73" s="7">
        <f t="shared" si="4"/>
        <v>14.989536407821502</v>
      </c>
      <c r="J73" s="7">
        <f t="shared" si="4"/>
        <v>13.813865704878857</v>
      </c>
      <c r="K73" s="7">
        <f t="shared" si="4"/>
        <v>7.3825573813187439</v>
      </c>
      <c r="L73" s="7">
        <f t="shared" si="4"/>
        <v>9.2007253633968453</v>
      </c>
      <c r="M73" s="7">
        <f t="shared" si="4"/>
        <v>20.739822199306211</v>
      </c>
      <c r="N73" s="7">
        <f t="shared" si="4"/>
        <v>13.806535412913501</v>
      </c>
      <c r="O73" s="7">
        <f t="shared" si="4"/>
        <v>8.7603371035249964</v>
      </c>
      <c r="P73" s="7">
        <f t="shared" si="4"/>
        <v>2.7191727234265217</v>
      </c>
      <c r="Q73" s="7">
        <f t="shared" si="4"/>
        <v>17.593487815859365</v>
      </c>
      <c r="R73" s="7">
        <f t="shared" si="4"/>
        <v>11.919142825581286</v>
      </c>
      <c r="S73" s="7">
        <f t="shared" si="4"/>
        <v>-2.6806012724185369</v>
      </c>
      <c r="T73" s="7"/>
      <c r="U73" s="5"/>
    </row>
    <row r="74" spans="1:21" s="2" customFormat="1" ht="12" customHeight="1" x14ac:dyDescent="0.15">
      <c r="A74" s="12" t="s">
        <v>18</v>
      </c>
      <c r="B74" s="7" t="s">
        <v>42</v>
      </c>
      <c r="C74" s="7"/>
      <c r="D74" s="7"/>
      <c r="E74" s="7"/>
      <c r="F74" s="7">
        <v>162255000</v>
      </c>
      <c r="G74" s="7">
        <v>175895000</v>
      </c>
      <c r="H74" s="7">
        <v>187442000</v>
      </c>
      <c r="I74" s="7">
        <v>166627000</v>
      </c>
      <c r="J74" s="7">
        <v>182113000</v>
      </c>
      <c r="K74" s="7">
        <v>185975000</v>
      </c>
      <c r="L74" s="7">
        <v>255126000</v>
      </c>
      <c r="M74" s="7">
        <v>301630000</v>
      </c>
      <c r="N74" s="7">
        <v>293841000</v>
      </c>
      <c r="O74" s="7">
        <v>339191000</v>
      </c>
      <c r="P74" s="9"/>
      <c r="Q74" s="9"/>
      <c r="R74" s="9"/>
      <c r="S74" s="9"/>
      <c r="T74" s="7"/>
      <c r="U74" s="5"/>
    </row>
    <row r="75" spans="1:21" ht="11.25" customHeight="1" x14ac:dyDescent="0.15">
      <c r="A75" s="13" t="s">
        <v>24</v>
      </c>
      <c r="B75" s="7" t="s">
        <v>20</v>
      </c>
      <c r="C75" s="7">
        <v>1576000</v>
      </c>
      <c r="D75" s="7">
        <v>1691000</v>
      </c>
      <c r="E75" s="7">
        <v>1564000</v>
      </c>
      <c r="F75" s="7">
        <v>1669000</v>
      </c>
      <c r="G75" s="7">
        <v>1971000</v>
      </c>
      <c r="H75" s="7">
        <v>2065460</v>
      </c>
      <c r="I75" s="7">
        <v>730282</v>
      </c>
      <c r="J75" s="7">
        <v>870660</v>
      </c>
      <c r="K75" s="7">
        <v>910803</v>
      </c>
      <c r="L75" s="7">
        <v>929853</v>
      </c>
      <c r="M75" s="7">
        <v>918386</v>
      </c>
      <c r="N75" s="7">
        <v>1010521</v>
      </c>
      <c r="O75" s="7">
        <v>1012696</v>
      </c>
      <c r="P75" s="7">
        <v>839563</v>
      </c>
      <c r="Q75" s="7">
        <v>1024482</v>
      </c>
      <c r="R75" s="7">
        <v>1060208</v>
      </c>
      <c r="S75" s="7"/>
      <c r="T75" s="7"/>
      <c r="U75" s="5"/>
    </row>
    <row r="76" spans="1:21" x14ac:dyDescent="0.15">
      <c r="A76" s="14" t="s">
        <v>37</v>
      </c>
      <c r="B76" s="7" t="s">
        <v>51</v>
      </c>
      <c r="C76" s="7">
        <f>C64*(C43/C40)</f>
        <v>21419.374410945871</v>
      </c>
      <c r="D76" s="7">
        <f t="shared" ref="D76:R76" si="5">D64*(D43/D40)</f>
        <v>29367.503115668889</v>
      </c>
      <c r="E76" s="7">
        <f t="shared" si="5"/>
        <v>29481.660538620461</v>
      </c>
      <c r="F76" s="7">
        <f t="shared" si="5"/>
        <v>35970.325770828058</v>
      </c>
      <c r="G76" s="7">
        <f t="shared" si="5"/>
        <v>49403.724969465322</v>
      </c>
      <c r="H76" s="7">
        <f t="shared" si="5"/>
        <v>57622.086385227369</v>
      </c>
      <c r="I76" s="7">
        <f t="shared" si="5"/>
        <v>64496.538751665794</v>
      </c>
      <c r="J76" s="7">
        <f t="shared" si="5"/>
        <v>71765.743042589966</v>
      </c>
      <c r="K76" s="7">
        <f t="shared" si="5"/>
        <v>77120.89421931775</v>
      </c>
      <c r="L76" s="7">
        <f t="shared" si="5"/>
        <v>84374.600823107598</v>
      </c>
      <c r="M76" s="7">
        <f t="shared" si="5"/>
        <v>87751.324329807845</v>
      </c>
      <c r="N76" s="7">
        <f t="shared" si="5"/>
        <v>99435.227239661574</v>
      </c>
      <c r="O76" s="7">
        <f t="shared" si="5"/>
        <v>106767.54379063781</v>
      </c>
      <c r="P76" s="7">
        <f t="shared" si="5"/>
        <v>106071.9074088311</v>
      </c>
      <c r="Q76" s="7">
        <f t="shared" si="5"/>
        <v>124078.19072068004</v>
      </c>
      <c r="R76" s="7">
        <f t="shared" si="5"/>
        <v>138999.4792592591</v>
      </c>
      <c r="S76" s="7"/>
      <c r="T76" s="7"/>
      <c r="U76" s="5"/>
    </row>
    <row r="77" spans="1:21" x14ac:dyDescent="0.15">
      <c r="A77" s="12" t="s">
        <v>18</v>
      </c>
      <c r="B77" s="7" t="s">
        <v>51</v>
      </c>
      <c r="C77" s="7"/>
      <c r="D77" s="7"/>
      <c r="E77" s="7"/>
      <c r="F77" s="7">
        <f t="shared" ref="F77:O77" si="6">F74/$T$89</f>
        <v>10233.390886614025</v>
      </c>
      <c r="G77" s="7">
        <f t="shared" si="6"/>
        <v>11093.662999605398</v>
      </c>
      <c r="H77" s="7">
        <f t="shared" si="6"/>
        <v>11821.93001490682</v>
      </c>
      <c r="I77" s="7">
        <f t="shared" si="6"/>
        <v>10509.132065352902</v>
      </c>
      <c r="J77" s="7">
        <f t="shared" si="6"/>
        <v>11485.831034691935</v>
      </c>
      <c r="K77" s="7">
        <f t="shared" si="6"/>
        <v>11729.406613898143</v>
      </c>
      <c r="L77" s="7">
        <f t="shared" si="6"/>
        <v>16090.746561512988</v>
      </c>
      <c r="M77" s="7">
        <f t="shared" si="6"/>
        <v>19023.744680468328</v>
      </c>
      <c r="N77" s="7">
        <f t="shared" si="6"/>
        <v>18532.493984860568</v>
      </c>
      <c r="O77" s="7">
        <f t="shared" si="6"/>
        <v>21392.709551147873</v>
      </c>
      <c r="P77" s="7"/>
      <c r="Q77" s="7"/>
      <c r="R77" s="7"/>
      <c r="S77" s="7"/>
      <c r="T77" s="7"/>
      <c r="U77" s="5"/>
    </row>
    <row r="78" spans="1:21" x14ac:dyDescent="0.15">
      <c r="A78" s="13" t="s">
        <v>24</v>
      </c>
      <c r="B78" s="7" t="s">
        <v>51</v>
      </c>
      <c r="C78" s="7">
        <f t="shared" ref="C78:R78" si="7">C75/$T$88</f>
        <v>44654.066599715501</v>
      </c>
      <c r="D78" s="7">
        <f t="shared" si="7"/>
        <v>47912.453439161749</v>
      </c>
      <c r="E78" s="7">
        <f t="shared" si="7"/>
        <v>44314.061016468935</v>
      </c>
      <c r="F78" s="7">
        <f t="shared" si="7"/>
        <v>47289.109869876374</v>
      </c>
      <c r="G78" s="7">
        <f t="shared" si="7"/>
        <v>55845.917048248259</v>
      </c>
      <c r="H78" s="7">
        <f t="shared" si="7"/>
        <v>58522.327664370801</v>
      </c>
      <c r="I78" s="7">
        <f t="shared" si="7"/>
        <v>20691.663112038983</v>
      </c>
      <c r="J78" s="7">
        <f t="shared" si="7"/>
        <v>24669.105092454505</v>
      </c>
      <c r="K78" s="7">
        <f t="shared" si="7"/>
        <v>25806.508769810076</v>
      </c>
      <c r="L78" s="7">
        <f t="shared" si="7"/>
        <v>26346.267633213996</v>
      </c>
      <c r="M78" s="7">
        <f t="shared" si="7"/>
        <v>26021.363964623299</v>
      </c>
      <c r="N78" s="7">
        <f t="shared" si="7"/>
        <v>28631.898498991821</v>
      </c>
      <c r="O78" s="7">
        <f t="shared" si="7"/>
        <v>28693.52451095526</v>
      </c>
      <c r="P78" s="7">
        <f t="shared" si="7"/>
        <v>23788.008957269634</v>
      </c>
      <c r="Q78" s="7">
        <f t="shared" si="7"/>
        <v>29027.466661300594</v>
      </c>
      <c r="R78" s="7">
        <f t="shared" si="7"/>
        <v>30039.719950222825</v>
      </c>
      <c r="S78" s="7"/>
      <c r="T78" s="7"/>
      <c r="U78" s="5"/>
    </row>
    <row r="79" spans="1:21" x14ac:dyDescent="0.15">
      <c r="A79" s="12" t="s">
        <v>18</v>
      </c>
      <c r="B79" s="7" t="s">
        <v>2</v>
      </c>
      <c r="C79" s="7">
        <f>C78/C62*100</f>
        <v>35.098195917053197</v>
      </c>
      <c r="D79" s="7">
        <f t="shared" ref="D79:K79" si="8">D78/D62*100</f>
        <v>31.502614886447098</v>
      </c>
      <c r="E79" s="7">
        <f t="shared" si="8"/>
        <v>33.994177176497303</v>
      </c>
      <c r="F79" s="7">
        <f t="shared" si="8"/>
        <v>25.773362098066897</v>
      </c>
      <c r="G79" s="7">
        <f t="shared" si="8"/>
        <v>23.754604043182269</v>
      </c>
      <c r="H79" s="7">
        <f t="shared" si="8"/>
        <v>25.924154404352322</v>
      </c>
      <c r="I79" s="7">
        <f t="shared" si="8"/>
        <v>9.4781796189798122</v>
      </c>
      <c r="J79" s="7">
        <f t="shared" si="8"/>
        <v>11.701496727311035</v>
      </c>
      <c r="K79" s="7">
        <f t="shared" si="8"/>
        <v>14.167078271252635</v>
      </c>
      <c r="L79" s="7">
        <f>L78/L62*100</f>
        <v>14.8107584327613</v>
      </c>
      <c r="M79" s="7">
        <f t="shared" ref="M79" si="9">M78/M62*100</f>
        <v>12.698025738097854</v>
      </c>
      <c r="N79" s="7">
        <f t="shared" ref="N79" si="10">N78/N62*100</f>
        <v>13.079561343613696</v>
      </c>
      <c r="O79" s="7">
        <f t="shared" ref="O79" si="11">O78/O62*100</f>
        <v>13.79113377236704</v>
      </c>
      <c r="P79" s="7">
        <f t="shared" ref="P79" si="12">P78/P62*100</f>
        <v>12.960202986909486</v>
      </c>
      <c r="Q79" s="7">
        <f t="shared" ref="Q79" si="13">Q78/Q62*100</f>
        <v>11.423211540765401</v>
      </c>
      <c r="R79" s="7">
        <f t="shared" ref="R79" si="14">R78/R62*100</f>
        <v>9.2938042900152382</v>
      </c>
      <c r="S79" s="7"/>
      <c r="T79" s="7"/>
      <c r="U79" s="5"/>
    </row>
    <row r="80" spans="1:21" x14ac:dyDescent="0.15">
      <c r="A80" s="13" t="s">
        <v>24</v>
      </c>
      <c r="B80" s="7" t="s">
        <v>2</v>
      </c>
      <c r="C80" s="7">
        <v>30.1</v>
      </c>
      <c r="D80" s="7">
        <v>28.9</v>
      </c>
      <c r="E80" s="7">
        <v>30.1</v>
      </c>
      <c r="F80" s="7">
        <v>27.3</v>
      </c>
      <c r="G80" s="7">
        <v>29.4</v>
      </c>
      <c r="H80" s="7">
        <v>29.9</v>
      </c>
      <c r="I80" s="7">
        <v>10.568876298869197</v>
      </c>
      <c r="J80" s="7">
        <v>11.905539378119142</v>
      </c>
      <c r="K80" s="7">
        <v>12.60250083269214</v>
      </c>
      <c r="L80" s="7">
        <v>12.314785319159839</v>
      </c>
      <c r="M80" s="7">
        <v>11.470841639047483</v>
      </c>
      <c r="N80" s="7">
        <v>12.462797380461996</v>
      </c>
      <c r="O80" s="7">
        <v>13.275339520738294</v>
      </c>
      <c r="P80" s="7">
        <v>11.687270169921131</v>
      </c>
      <c r="Q80" s="7">
        <v>11.955761155988956</v>
      </c>
      <c r="R80" s="7">
        <v>10.661446130488399</v>
      </c>
      <c r="S80" s="7"/>
      <c r="T80" s="7"/>
      <c r="U80" s="5"/>
    </row>
    <row r="81" spans="1:52" x14ac:dyDescent="0.15">
      <c r="A81" s="14" t="s">
        <v>37</v>
      </c>
      <c r="B81" s="7" t="s">
        <v>2</v>
      </c>
      <c r="C81" s="7">
        <f t="shared" ref="C81:P81" si="15">(C76/C95)*100</f>
        <v>38.929170124616732</v>
      </c>
      <c r="D81" s="7">
        <f t="shared" si="15"/>
        <v>42.139531612600301</v>
      </c>
      <c r="E81" s="7">
        <f t="shared" si="15"/>
        <v>46.898793933121219</v>
      </c>
      <c r="F81" s="7">
        <f t="shared" si="15"/>
        <v>45.134021572823038</v>
      </c>
      <c r="G81" s="7">
        <f t="shared" si="15"/>
        <v>46.785292503899576</v>
      </c>
      <c r="H81" s="7">
        <f t="shared" si="15"/>
        <v>46.41357848880812</v>
      </c>
      <c r="I81" s="7">
        <f t="shared" si="15"/>
        <v>45.183710539484487</v>
      </c>
      <c r="J81" s="7">
        <f t="shared" si="15"/>
        <v>44.501167964569319</v>
      </c>
      <c r="K81" s="7">
        <f t="shared" si="15"/>
        <v>44.509934233939788</v>
      </c>
      <c r="L81" s="7">
        <f t="shared" si="15"/>
        <v>44.623568772243189</v>
      </c>
      <c r="M81" s="7">
        <f t="shared" si="15"/>
        <v>38.458983545416785</v>
      </c>
      <c r="N81" s="7">
        <f t="shared" si="15"/>
        <v>40.802845204066827</v>
      </c>
      <c r="O81" s="7">
        <f t="shared" si="15"/>
        <v>40.401358680338816</v>
      </c>
      <c r="P81" s="7">
        <f t="shared" si="15"/>
        <v>37.530440049970494</v>
      </c>
      <c r="Q81" s="7"/>
      <c r="R81" s="7"/>
      <c r="S81" s="7"/>
      <c r="T81" s="7"/>
      <c r="U81" s="5"/>
    </row>
    <row r="82" spans="1:52" x14ac:dyDescent="0.15">
      <c r="A82" s="12" t="s">
        <v>18</v>
      </c>
      <c r="B82" s="7" t="s">
        <v>1</v>
      </c>
      <c r="C82" s="7"/>
      <c r="D82" s="7"/>
      <c r="E82" s="7"/>
      <c r="F82" s="7">
        <v>-8.9</v>
      </c>
      <c r="G82" s="7">
        <v>8.4</v>
      </c>
      <c r="H82" s="7">
        <v>6.6</v>
      </c>
      <c r="I82" s="7">
        <v>-11.1</v>
      </c>
      <c r="J82" s="7">
        <v>9.3000000000000007</v>
      </c>
      <c r="K82" s="7">
        <v>2.1</v>
      </c>
      <c r="L82" s="7">
        <v>37.200000000000003</v>
      </c>
      <c r="M82" s="7">
        <v>18.2</v>
      </c>
      <c r="N82" s="7">
        <v>-2.6</v>
      </c>
      <c r="O82" s="7">
        <v>15.4</v>
      </c>
      <c r="P82" s="7"/>
      <c r="Q82" s="7"/>
      <c r="R82" s="7"/>
      <c r="S82" s="7"/>
      <c r="T82" s="7"/>
      <c r="U82" s="5"/>
    </row>
    <row r="83" spans="1:52" ht="16" x14ac:dyDescent="0.2">
      <c r="A83" s="13" t="s">
        <v>24</v>
      </c>
      <c r="B83" s="7" t="s">
        <v>1</v>
      </c>
      <c r="C83" s="7">
        <v>10.1</v>
      </c>
      <c r="D83" s="7">
        <v>7.3</v>
      </c>
      <c r="E83" s="7">
        <v>-7.5</v>
      </c>
      <c r="F83" s="7">
        <v>3.6</v>
      </c>
      <c r="G83" s="7">
        <v>27.7</v>
      </c>
      <c r="H83" s="7">
        <v>4.78</v>
      </c>
      <c r="I83" s="7"/>
      <c r="J83" s="7">
        <v>19.222437359814435</v>
      </c>
      <c r="K83" s="7">
        <v>4.6106402039831806</v>
      </c>
      <c r="L83" s="7">
        <v>2.0915609632379244</v>
      </c>
      <c r="M83" s="7">
        <v>-1.2332056787470691</v>
      </c>
      <c r="N83" s="7">
        <v>10.032274011145631</v>
      </c>
      <c r="O83" s="7">
        <v>0.2152355072284422</v>
      </c>
      <c r="P83" s="7">
        <v>-17.096246060021954</v>
      </c>
      <c r="Q83" s="7">
        <v>22.025625235985856</v>
      </c>
      <c r="R83" s="7">
        <v>3.4872257394468704</v>
      </c>
      <c r="S83" s="10"/>
      <c r="T83" s="10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</row>
    <row r="84" spans="1:52" x14ac:dyDescent="0.15">
      <c r="A84" s="14" t="s">
        <v>37</v>
      </c>
      <c r="B84" s="7" t="s">
        <v>1</v>
      </c>
      <c r="C84" s="7"/>
      <c r="D84" s="7">
        <f t="shared" ref="D84:P84" si="16">((D76/C76)-1)*100</f>
        <v>37.10719347928908</v>
      </c>
      <c r="E84" s="7">
        <f t="shared" si="16"/>
        <v>0.38872022078944024</v>
      </c>
      <c r="F84" s="7">
        <f t="shared" si="16"/>
        <v>22.009157943147596</v>
      </c>
      <c r="G84" s="7">
        <f t="shared" si="16"/>
        <v>37.345781309358486</v>
      </c>
      <c r="H84" s="7">
        <f t="shared" si="16"/>
        <v>16.63510478378203</v>
      </c>
      <c r="I84" s="7">
        <f t="shared" si="16"/>
        <v>11.930238555542537</v>
      </c>
      <c r="J84" s="7">
        <f t="shared" si="16"/>
        <v>11.270688988308585</v>
      </c>
      <c r="K84" s="7">
        <f t="shared" si="16"/>
        <v>7.4619880596090704</v>
      </c>
      <c r="L84" s="7">
        <f t="shared" si="16"/>
        <v>9.4056308309413907</v>
      </c>
      <c r="M84" s="7">
        <f t="shared" si="16"/>
        <v>4.0020616083026983</v>
      </c>
      <c r="N84" s="7">
        <f t="shared" si="16"/>
        <v>13.314788123243027</v>
      </c>
      <c r="O84" s="7">
        <f t="shared" si="16"/>
        <v>7.3739626835705563</v>
      </c>
      <c r="P84" s="7">
        <f t="shared" si="16"/>
        <v>-0.65154292878628617</v>
      </c>
      <c r="Q84" s="7"/>
      <c r="R84" s="7"/>
      <c r="S84" s="7"/>
      <c r="T84" s="7"/>
      <c r="U84" s="5"/>
    </row>
    <row r="85" spans="1:52" x14ac:dyDescent="0.15">
      <c r="A85" s="12" t="s">
        <v>18</v>
      </c>
      <c r="B85" s="7" t="s">
        <v>43</v>
      </c>
      <c r="C85" s="7">
        <f>109755093425.227/1000000</f>
        <v>109755.09342522701</v>
      </c>
      <c r="D85" s="7">
        <f>146706628549.188/1000000</f>
        <v>146706.628549188</v>
      </c>
      <c r="E85" s="7">
        <f>115216544854.096/1000000</f>
        <v>115216.54485409599</v>
      </c>
      <c r="F85" s="7">
        <f>169158027604.28/1000000</f>
        <v>169158.02760428001</v>
      </c>
      <c r="G85" s="7">
        <f>212996885258.829/1000000</f>
        <v>212996.88525882902</v>
      </c>
      <c r="H85" s="7">
        <f>229362102387.579/1000000</f>
        <v>229362.10238757901</v>
      </c>
      <c r="I85" s="7">
        <f>225519356299.674/1000000</f>
        <v>225519.35629967402</v>
      </c>
      <c r="J85" s="7">
        <f>217485215764.965/1000000</f>
        <v>217485.21576496499</v>
      </c>
      <c r="K85" s="7">
        <f>178863652312.439/1000000</f>
        <v>178863.65231243899</v>
      </c>
      <c r="L85" s="7">
        <f>170835000829.6/1000000</f>
        <v>170835.0008296</v>
      </c>
      <c r="M85" s="7">
        <f>194777319197.277/1000000</f>
        <v>194777.31919727701</v>
      </c>
      <c r="N85" s="7">
        <f>230045612377.312/1000000</f>
        <v>230045.61237731201</v>
      </c>
      <c r="O85" s="7">
        <f>213034646341.603/1000000</f>
        <v>213034.64634160299</v>
      </c>
      <c r="P85" s="7">
        <f>165646843303.978/1000000</f>
        <v>165646.84330397801</v>
      </c>
      <c r="Q85" s="7">
        <f>222923845053.027/1000000</f>
        <v>222923.84505302701</v>
      </c>
      <c r="R85" s="7">
        <f>276506804871.164/1000000</f>
        <v>276506.80487116403</v>
      </c>
      <c r="S85" s="7">
        <f>268325648223.764/1000000</f>
        <v>268325.64822376403</v>
      </c>
      <c r="T85" s="7"/>
      <c r="U85" s="5"/>
      <c r="V85" s="5"/>
      <c r="W85" s="5"/>
      <c r="X85" s="5"/>
      <c r="Y85" s="5"/>
      <c r="Z85" s="5"/>
      <c r="AA85" s="5"/>
      <c r="AB85" s="5"/>
    </row>
    <row r="86" spans="1:52" x14ac:dyDescent="0.15">
      <c r="A86" s="13" t="s">
        <v>24</v>
      </c>
      <c r="B86" s="7" t="s">
        <v>43</v>
      </c>
      <c r="C86" s="7">
        <f>160397501826.646/1000000</f>
        <v>160397.50182664601</v>
      </c>
      <c r="D86" s="7">
        <f>201114263639.019/1000000</f>
        <v>201114.26363901902</v>
      </c>
      <c r="E86" s="7">
        <f>154464210141.501/1000000</f>
        <v>154464.21014150101</v>
      </c>
      <c r="F86" s="7">
        <f>207270092301.876/1000000</f>
        <v>207270.09230187599</v>
      </c>
      <c r="G86" s="7">
        <f>255199302709.361/1000000</f>
        <v>255199.30270936099</v>
      </c>
      <c r="H86" s="7">
        <f>273216802240.91/1000000</f>
        <v>273216.80224091001</v>
      </c>
      <c r="I86" s="7">
        <f>274440605888.824/1000000</f>
        <v>274440.60588882398</v>
      </c>
      <c r="J86" s="7">
        <f>254633174992.002/1000000</f>
        <v>254633.17499200202</v>
      </c>
      <c r="K86" s="7">
        <f>229553374316.892/1000000</f>
        <v>229553.374316892</v>
      </c>
      <c r="L86" s="7">
        <f>221168950937.551/1000000</f>
        <v>221168.95093755098</v>
      </c>
      <c r="M86" s="7">
        <f>247430252336.997/1000000</f>
        <v>247430.25233699701</v>
      </c>
      <c r="N86" s="7">
        <f>283801450351.972/1000000</f>
        <v>283801.45035197196</v>
      </c>
      <c r="O86" s="7">
        <f>272916501194.971/1000000</f>
        <v>272916.50119497103</v>
      </c>
      <c r="P86" s="7">
        <f>231745471360.936/1000000</f>
        <v>231745.471360936</v>
      </c>
      <c r="Q86" s="7">
        <f>296627151192.261/1000000</f>
        <v>296627.15119226096</v>
      </c>
      <c r="R86" s="7">
        <f>334528199102.147/1000000</f>
        <v>334528.19910214696</v>
      </c>
      <c r="S86" s="7">
        <f>327976179889.144/1000000</f>
        <v>327976.17988914397</v>
      </c>
      <c r="T86" s="7"/>
      <c r="U86" s="5"/>
      <c r="V86" s="5"/>
      <c r="W86" s="5"/>
      <c r="X86" s="5"/>
      <c r="Y86" s="5"/>
      <c r="Z86" s="5"/>
      <c r="AA86" s="5"/>
      <c r="AB86" s="5"/>
    </row>
    <row r="87" spans="1:52" x14ac:dyDescent="0.15">
      <c r="A87" s="14" t="s">
        <v>37</v>
      </c>
      <c r="B87" s="7" t="s">
        <v>43</v>
      </c>
      <c r="C87" s="7">
        <f>65095862341.9564/1000000</f>
        <v>65095.862341956396</v>
      </c>
      <c r="D87" s="7">
        <f>83250410219.4482/1000000</f>
        <v>83250.410219448197</v>
      </c>
      <c r="E87" s="7">
        <f>76433848844.8916/1000000</f>
        <v>76433.848844891603</v>
      </c>
      <c r="F87" s="7">
        <f>88029012388.652/1000000</f>
        <v>88029.012388651987</v>
      </c>
      <c r="G87" s="7">
        <f>110599636247.243/1000000</f>
        <v>110599.63624724299</v>
      </c>
      <c r="H87" s="7">
        <f>116865795250/1000000</f>
        <v>116865.79525</v>
      </c>
      <c r="I87" s="7">
        <f>136871750776.669/1000000</f>
        <v>136871.75077666901</v>
      </c>
      <c r="J87" s="7">
        <f>153638953979.784/1000000</f>
        <v>153638.95397978398</v>
      </c>
      <c r="K87" s="7">
        <f>172245363653.847/1000000</f>
        <v>172245.36365384699</v>
      </c>
      <c r="L87" s="7">
        <f>183315160786.748/1000000</f>
        <v>183315.16078674799</v>
      </c>
      <c r="M87" s="7">
        <f>222881466764.772/1000000</f>
        <v>222881.46676477199</v>
      </c>
      <c r="N87" s="7">
        <f>248830928922.632/1000000</f>
        <v>248830.92892263198</v>
      </c>
      <c r="O87" s="7">
        <f>265976296626.188/1000000</f>
        <v>265976.29662618798</v>
      </c>
      <c r="P87" s="7">
        <f>273355953899.643/1000000</f>
        <v>273355.95389964298</v>
      </c>
      <c r="Q87" s="7">
        <f>340182482326.143/1000000</f>
        <v>340182.48232614301</v>
      </c>
      <c r="R87" s="7">
        <f>369200955399.323/1000000</f>
        <v>369200.95539932302</v>
      </c>
      <c r="S87" s="7">
        <f>340107543990.226/1000000</f>
        <v>340107.543990226</v>
      </c>
      <c r="T87" s="7"/>
      <c r="U87" s="5"/>
      <c r="V87" s="5"/>
      <c r="W87" s="5"/>
      <c r="X87" s="5"/>
      <c r="Y87" s="5"/>
      <c r="Z87" s="5"/>
      <c r="AA87" s="5"/>
      <c r="AB87" s="5"/>
    </row>
    <row r="88" spans="1:52" x14ac:dyDescent="0.15">
      <c r="A88" s="13" t="s">
        <v>24</v>
      </c>
      <c r="B88" s="7" t="s">
        <v>38</v>
      </c>
      <c r="C88" s="7">
        <v>34.518180591701302</v>
      </c>
      <c r="D88" s="7">
        <v>33.313300641233802</v>
      </c>
      <c r="E88" s="7">
        <v>34.285774123424098</v>
      </c>
      <c r="F88" s="7">
        <v>31.685704999999999</v>
      </c>
      <c r="G88" s="7">
        <v>30.4917333333333</v>
      </c>
      <c r="H88" s="7">
        <v>31.0830916666667</v>
      </c>
      <c r="I88" s="7">
        <v>30.7259666666667</v>
      </c>
      <c r="J88" s="7">
        <v>32.479833333333303</v>
      </c>
      <c r="K88" s="7">
        <v>34.247716666666697</v>
      </c>
      <c r="L88" s="7">
        <v>35.296383333333303</v>
      </c>
      <c r="M88" s="7">
        <v>33.939811056685798</v>
      </c>
      <c r="N88" s="7">
        <v>32.3102257431458</v>
      </c>
      <c r="O88" s="7">
        <v>31.047605780549901</v>
      </c>
      <c r="P88" s="7">
        <v>31.293673213083199</v>
      </c>
      <c r="Q88" s="7">
        <v>31.9770934417717</v>
      </c>
      <c r="R88" s="7">
        <v>35.061350214477599</v>
      </c>
      <c r="S88" s="7">
        <v>34.8021885808364</v>
      </c>
      <c r="T88" s="7">
        <v>35.293538080808098</v>
      </c>
      <c r="W88" s="5"/>
      <c r="X88" s="5"/>
      <c r="Y88" s="5"/>
      <c r="Z88" s="5"/>
      <c r="AA88" s="5"/>
      <c r="AB88" s="5"/>
    </row>
    <row r="89" spans="1:52" x14ac:dyDescent="0.15">
      <c r="A89" s="12" t="s">
        <v>18</v>
      </c>
      <c r="B89" s="7" t="s">
        <v>38</v>
      </c>
      <c r="C89" s="7">
        <v>9141</v>
      </c>
      <c r="D89" s="7">
        <v>9698.9624999999996</v>
      </c>
      <c r="E89" s="7">
        <v>10389.9375</v>
      </c>
      <c r="F89" s="7">
        <v>9090.4333333333307</v>
      </c>
      <c r="G89" s="7">
        <v>8770.4333333333307</v>
      </c>
      <c r="H89" s="7">
        <v>9386.6291666666693</v>
      </c>
      <c r="I89" s="7">
        <v>10461.24</v>
      </c>
      <c r="J89" s="7">
        <v>11865.2112962963</v>
      </c>
      <c r="K89" s="7">
        <v>13389.412936507901</v>
      </c>
      <c r="L89" s="7">
        <v>13308.3268020542</v>
      </c>
      <c r="M89" s="7">
        <v>13380.8338788891</v>
      </c>
      <c r="N89" s="7">
        <v>14236.938773481799</v>
      </c>
      <c r="O89" s="7">
        <v>14147.671360545401</v>
      </c>
      <c r="P89" s="7">
        <v>14582.203467817701</v>
      </c>
      <c r="Q89" s="7">
        <v>14308.1439011897</v>
      </c>
      <c r="R89" s="7">
        <v>14849.8539362105</v>
      </c>
      <c r="S89" s="7">
        <v>15236.884662050599</v>
      </c>
      <c r="T89" s="7">
        <v>15855.448286671101</v>
      </c>
      <c r="W89" s="5"/>
      <c r="X89" s="5"/>
      <c r="Y89" s="5"/>
      <c r="Z89" s="5"/>
      <c r="AA89" s="5"/>
      <c r="AB89" s="5"/>
    </row>
    <row r="90" spans="1:52" x14ac:dyDescent="0.15">
      <c r="A90" s="12" t="s">
        <v>18</v>
      </c>
      <c r="B90" s="7" t="s">
        <v>46</v>
      </c>
      <c r="C90" s="7"/>
      <c r="D90" s="7"/>
      <c r="E90" s="7"/>
      <c r="F90" s="7">
        <v>135663.29999999999</v>
      </c>
      <c r="G90" s="7">
        <v>177435.6</v>
      </c>
      <c r="H90" s="7">
        <v>191689.5</v>
      </c>
      <c r="I90" s="7">
        <v>186628.7</v>
      </c>
      <c r="J90" s="7">
        <v>178178.8</v>
      </c>
      <c r="K90" s="7">
        <v>142694.79999999999</v>
      </c>
      <c r="L90" s="7">
        <v>135652.79999999999</v>
      </c>
      <c r="M90" s="7">
        <v>156985.5</v>
      </c>
      <c r="N90" s="7">
        <v>188711.3</v>
      </c>
      <c r="O90" s="7">
        <v>170727</v>
      </c>
      <c r="P90" s="7"/>
      <c r="Q90" s="7"/>
      <c r="R90" s="7"/>
      <c r="S90" s="7"/>
      <c r="T90" s="7"/>
      <c r="U90" s="5"/>
      <c r="V90" s="5"/>
      <c r="W90" s="5"/>
      <c r="X90" s="5"/>
      <c r="Y90" s="5"/>
      <c r="Z90" s="5"/>
      <c r="AA90" s="5"/>
      <c r="AB90" s="5"/>
    </row>
    <row r="91" spans="1:52" x14ac:dyDescent="0.15">
      <c r="A91" s="13" t="s">
        <v>24</v>
      </c>
      <c r="B91" s="7" t="s">
        <v>49</v>
      </c>
      <c r="C91" s="7">
        <v>4870186.4000000004</v>
      </c>
      <c r="D91" s="7">
        <v>5962482.5</v>
      </c>
      <c r="E91" s="7">
        <v>4601981.8</v>
      </c>
      <c r="F91" s="7">
        <v>5856591.2999999998</v>
      </c>
      <c r="G91" s="7">
        <v>6982728.0999999996</v>
      </c>
      <c r="H91" s="7">
        <v>7786132.2000000002</v>
      </c>
      <c r="I91" s="7">
        <v>7657345.5999999996</v>
      </c>
      <c r="J91" s="7">
        <v>7403898.0999999996</v>
      </c>
      <c r="K91" s="7">
        <v>6906078.4000000004</v>
      </c>
      <c r="L91" s="7">
        <v>6888186.7000000002</v>
      </c>
      <c r="M91" s="7">
        <v>7587118.4100000001</v>
      </c>
      <c r="N91" s="7">
        <v>8064039</v>
      </c>
      <c r="O91" s="7">
        <v>7425649</v>
      </c>
      <c r="P91" s="7">
        <v>6476267</v>
      </c>
      <c r="Q91" s="7">
        <v>8525585</v>
      </c>
      <c r="R91" s="7">
        <v>10646953</v>
      </c>
      <c r="S91" s="7"/>
      <c r="T91" s="7"/>
      <c r="U91" s="5"/>
      <c r="V91" s="5"/>
      <c r="W91" s="5"/>
      <c r="X91" s="5"/>
      <c r="Y91" s="5"/>
      <c r="Z91" s="5"/>
      <c r="AA91" s="5"/>
      <c r="AB91" s="5"/>
    </row>
    <row r="92" spans="1:52" x14ac:dyDescent="0.15">
      <c r="A92" s="14" t="s">
        <v>37</v>
      </c>
      <c r="B92" s="7" t="s">
        <v>46</v>
      </c>
      <c r="C92" s="7">
        <v>69941.7</v>
      </c>
      <c r="D92" s="7">
        <v>88669.8</v>
      </c>
      <c r="E92" s="7">
        <v>78135.8</v>
      </c>
      <c r="F92" s="7">
        <v>94759.6</v>
      </c>
      <c r="G92" s="7">
        <v>118608.8</v>
      </c>
      <c r="H92" s="7">
        <v>124830.39999999999</v>
      </c>
      <c r="I92" s="7">
        <v>145852.6</v>
      </c>
      <c r="J92" s="7">
        <v>162849.1</v>
      </c>
      <c r="K92" s="7">
        <v>181790.9</v>
      </c>
      <c r="L92" s="7">
        <v>191736.4</v>
      </c>
      <c r="M92" s="7">
        <v>230215.3</v>
      </c>
      <c r="N92" s="7">
        <v>237241.55189519998</v>
      </c>
      <c r="O92" s="7">
        <v>253696.49900000001</v>
      </c>
      <c r="P92" s="7">
        <v>262691</v>
      </c>
      <c r="Q92" s="7"/>
      <c r="R92" s="7"/>
      <c r="S92" s="7"/>
      <c r="T92" s="7"/>
      <c r="W92" s="5"/>
      <c r="X92" s="5"/>
      <c r="Y92" s="5"/>
      <c r="Z92" s="5"/>
      <c r="AA92" s="5"/>
      <c r="AB92" s="5"/>
    </row>
    <row r="93" spans="1:52" x14ac:dyDescent="0.15">
      <c r="A93" s="12" t="s">
        <v>18</v>
      </c>
      <c r="B93" s="7" t="s">
        <v>47</v>
      </c>
      <c r="C93" s="7"/>
      <c r="D93" s="7"/>
      <c r="E93" s="7"/>
      <c r="F93" s="7">
        <v>157779.1</v>
      </c>
      <c r="G93" s="7">
        <v>203496.6</v>
      </c>
      <c r="H93" s="7">
        <v>190020.3</v>
      </c>
      <c r="I93" s="7">
        <v>182551.8</v>
      </c>
      <c r="J93" s="7">
        <v>175980</v>
      </c>
      <c r="K93" s="7">
        <v>150366.29999999999</v>
      </c>
      <c r="L93" s="7">
        <v>145134</v>
      </c>
      <c r="M93" s="7">
        <v>168828.2</v>
      </c>
      <c r="N93" s="7">
        <v>180012.7</v>
      </c>
      <c r="O93" s="7">
        <v>167683</v>
      </c>
      <c r="P93" s="7"/>
      <c r="Q93" s="7"/>
      <c r="R93" s="7"/>
      <c r="S93" s="7"/>
      <c r="T93" s="7"/>
      <c r="W93" s="5"/>
      <c r="X93" s="5"/>
      <c r="Y93" s="5"/>
      <c r="Z93" s="5"/>
      <c r="AA93" s="5"/>
      <c r="AB93" s="5"/>
    </row>
    <row r="94" spans="1:52" x14ac:dyDescent="0.15">
      <c r="A94" s="13" t="s">
        <v>24</v>
      </c>
      <c r="B94" s="7" t="s">
        <v>48</v>
      </c>
      <c r="C94" s="7">
        <v>5302119.2</v>
      </c>
      <c r="D94" s="7">
        <v>5851371.0999999996</v>
      </c>
      <c r="E94" s="7">
        <v>5194596.7</v>
      </c>
      <c r="F94" s="7">
        <v>6113335.5</v>
      </c>
      <c r="G94" s="7">
        <v>6707989.5</v>
      </c>
      <c r="H94" s="7">
        <v>7078420.2000000002</v>
      </c>
      <c r="I94" s="7">
        <v>6909741.2000000002</v>
      </c>
      <c r="J94" s="7">
        <v>7313066.4000000004</v>
      </c>
      <c r="K94" s="7">
        <v>7227160.7999999998</v>
      </c>
      <c r="L94" s="7">
        <v>7550704.0999999996</v>
      </c>
      <c r="M94" s="7">
        <v>8006265.1799999997</v>
      </c>
      <c r="N94" s="7">
        <v>8108300</v>
      </c>
      <c r="O94" s="7">
        <v>7628400</v>
      </c>
      <c r="P94" s="7">
        <v>7183568</v>
      </c>
      <c r="Q94" s="7">
        <v>8568940</v>
      </c>
      <c r="R94" s="7">
        <v>9944317</v>
      </c>
      <c r="S94" s="7"/>
      <c r="T94" s="7"/>
      <c r="W94" s="5"/>
      <c r="X94" s="5"/>
      <c r="Y94" s="5"/>
      <c r="Z94" s="5"/>
      <c r="AA94" s="5"/>
      <c r="AB94" s="5"/>
    </row>
    <row r="95" spans="1:52" x14ac:dyDescent="0.15">
      <c r="A95" s="14" t="s">
        <v>37</v>
      </c>
      <c r="B95" s="7" t="s">
        <v>47</v>
      </c>
      <c r="C95" s="7">
        <v>55021.4</v>
      </c>
      <c r="D95" s="7">
        <v>69691.100000000006</v>
      </c>
      <c r="E95" s="7">
        <v>62862.3</v>
      </c>
      <c r="F95" s="7">
        <v>79696.7</v>
      </c>
      <c r="G95" s="7">
        <v>105596.7</v>
      </c>
      <c r="H95" s="7">
        <v>124149.2</v>
      </c>
      <c r="I95" s="7">
        <v>142742.9</v>
      </c>
      <c r="J95" s="7">
        <v>161267.1</v>
      </c>
      <c r="K95" s="7">
        <v>173266.7</v>
      </c>
      <c r="L95" s="7">
        <v>189080.8</v>
      </c>
      <c r="M95" s="7">
        <v>228168.6</v>
      </c>
      <c r="N95" s="7">
        <v>243696.79796190007</v>
      </c>
      <c r="O95" s="7">
        <v>264267.21100000001</v>
      </c>
      <c r="P95" s="7">
        <v>282629</v>
      </c>
      <c r="Q95" s="7"/>
      <c r="R95" s="7"/>
      <c r="S95" s="7"/>
      <c r="T95" s="7"/>
      <c r="U95" s="5"/>
      <c r="V95" s="5"/>
      <c r="W95" s="5"/>
      <c r="X95" s="5"/>
      <c r="Y95" s="5"/>
      <c r="Z95" s="5"/>
      <c r="AA95" s="5"/>
      <c r="AB95" s="5"/>
    </row>
    <row r="96" spans="1:52" x14ac:dyDescent="0.15">
      <c r="A96" s="12" t="s">
        <v>18</v>
      </c>
      <c r="B96" s="7" t="s">
        <v>50</v>
      </c>
      <c r="C96" s="7"/>
      <c r="D96" s="7"/>
      <c r="E96" s="7"/>
      <c r="F96" s="7"/>
      <c r="G96" s="7">
        <v>30.791157225277601</v>
      </c>
      <c r="H96" s="7">
        <v>8.0332808072337194</v>
      </c>
      <c r="I96" s="7">
        <v>-2.64010287470101</v>
      </c>
      <c r="J96" s="7">
        <v>-4.5276530351441204</v>
      </c>
      <c r="K96" s="7">
        <v>-19.914827128704399</v>
      </c>
      <c r="L96" s="7">
        <v>-4.9350081432539898</v>
      </c>
      <c r="M96" s="7">
        <v>15.725956264817199</v>
      </c>
      <c r="N96" s="7">
        <v>20.209382395189401</v>
      </c>
      <c r="O96" s="7">
        <v>-9.5300599381171072</v>
      </c>
      <c r="P96" s="7"/>
      <c r="Q96" s="7"/>
      <c r="R96" s="7"/>
      <c r="S96" s="7"/>
      <c r="T96" s="7"/>
      <c r="U96" s="5"/>
      <c r="V96" s="5"/>
      <c r="W96" s="5"/>
      <c r="X96" s="5"/>
      <c r="Y96" s="5"/>
      <c r="Z96" s="5"/>
      <c r="AA96" s="5"/>
      <c r="AB96" s="5"/>
    </row>
    <row r="97" spans="1:28" x14ac:dyDescent="0.15">
      <c r="A97" s="13" t="s">
        <v>24</v>
      </c>
      <c r="B97" s="7" t="s">
        <v>50</v>
      </c>
      <c r="C97" s="7"/>
      <c r="D97" s="7">
        <v>22.428219585188764</v>
      </c>
      <c r="E97" s="7">
        <v>-22.817688773090744</v>
      </c>
      <c r="F97" s="7">
        <v>27.262374223209662</v>
      </c>
      <c r="G97" s="7">
        <v>19.228536572118323</v>
      </c>
      <c r="H97" s="7">
        <v>11.505590486904405</v>
      </c>
      <c r="I97" s="7">
        <v>-1.6540510319103052</v>
      </c>
      <c r="J97" s="7">
        <v>-3.3098610568132125</v>
      </c>
      <c r="K97" s="7">
        <v>-6.7237513709163457</v>
      </c>
      <c r="L97" s="7">
        <v>-0.25907177653818969</v>
      </c>
      <c r="M97" s="7">
        <v>10.146817158716095</v>
      </c>
      <c r="N97" s="7">
        <v>6.2859252252002165</v>
      </c>
      <c r="O97" s="7">
        <v>-7.9165043720646651</v>
      </c>
      <c r="P97" s="7">
        <v>-12.785172043547973</v>
      </c>
      <c r="Q97" s="7">
        <v>31.64350697709034</v>
      </c>
      <c r="R97" s="7">
        <v>24.882374640567193</v>
      </c>
      <c r="S97" s="7"/>
      <c r="T97" s="7"/>
      <c r="U97" s="5"/>
      <c r="V97" s="5"/>
      <c r="W97" s="5"/>
      <c r="X97" s="5"/>
      <c r="Y97" s="5"/>
      <c r="Z97" s="5"/>
      <c r="AA97" s="5"/>
      <c r="AB97" s="5"/>
    </row>
    <row r="98" spans="1:28" x14ac:dyDescent="0.15">
      <c r="A98" s="14" t="s">
        <v>37</v>
      </c>
      <c r="B98" s="7" t="s">
        <v>50</v>
      </c>
      <c r="C98" s="7">
        <v>39.846760148841</v>
      </c>
      <c r="D98" s="7">
        <v>26.776729762073277</v>
      </c>
      <c r="E98" s="7">
        <v>-11.880031307164334</v>
      </c>
      <c r="F98" s="7">
        <v>21.275522871718216</v>
      </c>
      <c r="G98" s="7">
        <v>25.16810961633438</v>
      </c>
      <c r="H98" s="7">
        <v>5.2454792561765995</v>
      </c>
      <c r="I98" s="7">
        <v>16.840609338750827</v>
      </c>
      <c r="J98" s="7">
        <v>11.653203302512262</v>
      </c>
      <c r="K98" s="7">
        <v>11.63150425762254</v>
      </c>
      <c r="L98" s="7">
        <v>5.4708459004273591</v>
      </c>
      <c r="M98" s="7">
        <v>20.068646329022553</v>
      </c>
      <c r="N98" s="7">
        <v>11.26852749782654</v>
      </c>
      <c r="O98" s="7">
        <v>6.9359464956075101</v>
      </c>
      <c r="P98" s="7">
        <v>3.5</v>
      </c>
      <c r="Q98" s="7"/>
      <c r="R98" s="7"/>
      <c r="S98" s="7"/>
      <c r="T98" s="7"/>
      <c r="U98" s="5"/>
      <c r="V98" s="5"/>
      <c r="W98" s="5"/>
      <c r="X98" s="5"/>
      <c r="Y98" s="5"/>
      <c r="Z98" s="5"/>
      <c r="AA98" s="5"/>
      <c r="AB98" s="5"/>
    </row>
    <row r="99" spans="1:28" x14ac:dyDescent="0.15">
      <c r="A99" s="12" t="s">
        <v>18</v>
      </c>
      <c r="B99" s="7" t="s">
        <v>44</v>
      </c>
      <c r="C99" s="7"/>
      <c r="D99" s="7">
        <f>(D85/C85-1)*100</f>
        <v>33.667262238845439</v>
      </c>
      <c r="E99" s="7">
        <f t="shared" ref="E99:S99" si="17">(E85/D85-1)*100</f>
        <v>-21.464663189730359</v>
      </c>
      <c r="F99" s="7">
        <f t="shared" si="17"/>
        <v>46.817479918784755</v>
      </c>
      <c r="G99" s="7">
        <f t="shared" si="17"/>
        <v>25.915919141067011</v>
      </c>
      <c r="H99" s="7">
        <f t="shared" si="17"/>
        <v>7.6833128845350762</v>
      </c>
      <c r="I99" s="7">
        <f t="shared" si="17"/>
        <v>-1.6754058529736882</v>
      </c>
      <c r="J99" s="7">
        <f t="shared" si="17"/>
        <v>-3.5625059713424889</v>
      </c>
      <c r="K99" s="7">
        <f t="shared" si="17"/>
        <v>-17.758247757982826</v>
      </c>
      <c r="L99" s="7">
        <f t="shared" si="17"/>
        <v>-4.4886992852044338</v>
      </c>
      <c r="M99" s="7">
        <f t="shared" si="17"/>
        <v>14.014878831275546</v>
      </c>
      <c r="N99" s="7">
        <f t="shared" si="17"/>
        <v>18.106981513753183</v>
      </c>
      <c r="O99" s="7">
        <f t="shared" si="17"/>
        <v>-7.3946057305402046</v>
      </c>
      <c r="P99" s="7">
        <f t="shared" si="17"/>
        <v>-22.244176640469181</v>
      </c>
      <c r="Q99" s="7">
        <f t="shared" si="17"/>
        <v>34.577780419238138</v>
      </c>
      <c r="R99" s="7">
        <f t="shared" si="17"/>
        <v>24.036441595286149</v>
      </c>
      <c r="S99" s="7">
        <f t="shared" si="17"/>
        <v>-2.9587541801048722</v>
      </c>
      <c r="T99" s="7"/>
      <c r="U99" s="5"/>
      <c r="V99" s="5"/>
      <c r="W99" s="5"/>
      <c r="X99" s="5"/>
      <c r="Y99" s="5"/>
      <c r="Z99" s="5"/>
      <c r="AA99" s="5"/>
      <c r="AB99" s="5"/>
    </row>
    <row r="100" spans="1:28" x14ac:dyDescent="0.15">
      <c r="A100" s="13" t="s">
        <v>24</v>
      </c>
      <c r="B100" s="7" t="s">
        <v>44</v>
      </c>
      <c r="C100" s="7"/>
      <c r="D100" s="7">
        <f>(D86/C86-1)*100</f>
        <v>25.384910206630739</v>
      </c>
      <c r="E100" s="7">
        <f t="shared" ref="E100:S100" si="18">(E86/D86-1)*100</f>
        <v>-23.195795590734637</v>
      </c>
      <c r="F100" s="7">
        <f t="shared" si="18"/>
        <v>34.186483789352096</v>
      </c>
      <c r="G100" s="7">
        <f t="shared" si="18"/>
        <v>23.124035829384916</v>
      </c>
      <c r="H100" s="7">
        <f t="shared" si="18"/>
        <v>7.0601680099685149</v>
      </c>
      <c r="I100" s="7">
        <f t="shared" si="18"/>
        <v>0.44792400682402977</v>
      </c>
      <c r="J100" s="7">
        <f t="shared" si="18"/>
        <v>-7.2173834599556175</v>
      </c>
      <c r="K100" s="7">
        <f t="shared" si="18"/>
        <v>-9.8493845807396401</v>
      </c>
      <c r="L100" s="7">
        <f t="shared" si="18"/>
        <v>-3.6524940677920781</v>
      </c>
      <c r="M100" s="7">
        <f t="shared" si="18"/>
        <v>11.873864431748892</v>
      </c>
      <c r="N100" s="7">
        <f t="shared" si="18"/>
        <v>14.699576010389315</v>
      </c>
      <c r="O100" s="7">
        <f t="shared" si="18"/>
        <v>-3.835409982401905</v>
      </c>
      <c r="P100" s="7">
        <f t="shared" si="18"/>
        <v>-15.085577329977029</v>
      </c>
      <c r="Q100" s="7">
        <f t="shared" si="18"/>
        <v>27.996956941727614</v>
      </c>
      <c r="R100" s="7">
        <f t="shared" si="18"/>
        <v>12.777336045451948</v>
      </c>
      <c r="S100" s="7">
        <f t="shared" si="18"/>
        <v>-1.9585850252947901</v>
      </c>
      <c r="T100" s="7"/>
      <c r="U100" s="5"/>
      <c r="V100" s="5"/>
      <c r="W100" s="5"/>
      <c r="X100" s="5"/>
      <c r="Y100" s="5"/>
      <c r="Z100" s="5"/>
      <c r="AA100" s="5"/>
      <c r="AB100" s="5"/>
    </row>
    <row r="101" spans="1:28" x14ac:dyDescent="0.15">
      <c r="A101" s="14" t="s">
        <v>37</v>
      </c>
      <c r="B101" s="7" t="s">
        <v>44</v>
      </c>
      <c r="C101" s="7"/>
      <c r="D101" s="7">
        <f>(D87/C87-1)*100</f>
        <v>27.888942897973724</v>
      </c>
      <c r="E101" s="7">
        <f>(E87/D87-1)*100</f>
        <v>-8.1880213642048449</v>
      </c>
      <c r="F101" s="7">
        <f t="shared" ref="F101:S101" si="19">(F87/E87-1)*100</f>
        <v>15.170194513285118</v>
      </c>
      <c r="G101" s="7">
        <f t="shared" si="19"/>
        <v>25.639983053474126</v>
      </c>
      <c r="H101" s="7">
        <f t="shared" si="19"/>
        <v>5.6656235186426374</v>
      </c>
      <c r="I101" s="7">
        <f t="shared" si="19"/>
        <v>17.118743327653885</v>
      </c>
      <c r="J101" s="7">
        <f t="shared" si="19"/>
        <v>12.250302277840873</v>
      </c>
      <c r="K101" s="7">
        <f t="shared" si="19"/>
        <v>12.110476667597769</v>
      </c>
      <c r="L101" s="7">
        <f t="shared" si="19"/>
        <v>6.4267605804168015</v>
      </c>
      <c r="M101" s="7">
        <f t="shared" si="19"/>
        <v>21.583760889287174</v>
      </c>
      <c r="N101" s="7">
        <f t="shared" si="19"/>
        <v>11.642718676670839</v>
      </c>
      <c r="O101" s="7">
        <f t="shared" si="19"/>
        <v>6.8903684030721779</v>
      </c>
      <c r="P101" s="7">
        <f t="shared" si="19"/>
        <v>2.7745544873972738</v>
      </c>
      <c r="Q101" s="7">
        <f t="shared" si="19"/>
        <v>24.446706747435254</v>
      </c>
      <c r="R101" s="7">
        <f t="shared" si="19"/>
        <v>8.5302667188368542</v>
      </c>
      <c r="S101" s="7">
        <f t="shared" si="19"/>
        <v>-7.8801018750425449</v>
      </c>
      <c r="T101" s="7"/>
      <c r="U101" s="5"/>
      <c r="V101" s="5"/>
      <c r="W101" s="5"/>
      <c r="X101" s="5"/>
      <c r="Y101" s="5"/>
      <c r="Z101" s="5"/>
      <c r="AA101" s="5"/>
      <c r="AB101" s="5"/>
    </row>
    <row r="102" spans="1:28" x14ac:dyDescent="0.15">
      <c r="A102" s="12" t="s">
        <v>18</v>
      </c>
      <c r="B102" s="7" t="s">
        <v>0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 spans="1:28" x14ac:dyDescent="0.15">
      <c r="A103" s="13" t="s">
        <v>24</v>
      </c>
      <c r="B103" s="7" t="s">
        <v>21</v>
      </c>
      <c r="C103" s="7">
        <v>1453000</v>
      </c>
      <c r="D103" s="7">
        <v>1772000</v>
      </c>
      <c r="E103" s="7">
        <v>1384000</v>
      </c>
      <c r="F103" s="7">
        <v>1810000</v>
      </c>
      <c r="G103" s="7">
        <v>2383000</v>
      </c>
      <c r="H103" s="7">
        <v>2588300</v>
      </c>
      <c r="I103" s="7">
        <v>998023</v>
      </c>
      <c r="J103" s="7">
        <v>1054369</v>
      </c>
      <c r="K103" s="7">
        <v>1126969</v>
      </c>
      <c r="L103" s="7">
        <v>1067712</v>
      </c>
      <c r="M103" s="7">
        <v>1068749</v>
      </c>
      <c r="N103" s="7">
        <v>1304185</v>
      </c>
      <c r="O103" s="7">
        <v>1273351</v>
      </c>
      <c r="P103" s="7">
        <v>1017951</v>
      </c>
      <c r="Q103" s="7">
        <v>1135513</v>
      </c>
      <c r="R103" s="7">
        <v>1227667</v>
      </c>
      <c r="S103" s="7"/>
      <c r="T103" s="7"/>
      <c r="U103" s="5"/>
    </row>
    <row r="104" spans="1:28" x14ac:dyDescent="0.15">
      <c r="A104" s="14" t="s">
        <v>37</v>
      </c>
      <c r="B104" s="7" t="s">
        <v>36</v>
      </c>
      <c r="C104" s="7">
        <f t="shared" ref="C104:P104" si="20">C92*(C43/C40)</f>
        <v>27442.385243843768</v>
      </c>
      <c r="D104" s="7">
        <f t="shared" si="20"/>
        <v>37346.884204700742</v>
      </c>
      <c r="E104" s="7">
        <f t="shared" si="20"/>
        <v>34705.644849189128</v>
      </c>
      <c r="F104" s="7">
        <f t="shared" si="20"/>
        <v>42741.584379497079</v>
      </c>
      <c r="G104" s="7">
        <f t="shared" si="20"/>
        <v>55492.935029302425</v>
      </c>
      <c r="H104" s="7">
        <f t="shared" si="20"/>
        <v>57938.31664741836</v>
      </c>
      <c r="I104" s="7">
        <f t="shared" si="20"/>
        <v>65894.443179489535</v>
      </c>
      <c r="J104" s="7">
        <f t="shared" si="20"/>
        <v>71929.258383524924</v>
      </c>
      <c r="K104" s="7">
        <f t="shared" si="20"/>
        <v>80355.107724781235</v>
      </c>
      <c r="L104" s="7">
        <f t="shared" si="20"/>
        <v>84910.239967297239</v>
      </c>
      <c r="M104" s="7">
        <f t="shared" si="20"/>
        <v>87817.505974876171</v>
      </c>
      <c r="N104" s="7">
        <f t="shared" si="20"/>
        <v>90106.69500137365</v>
      </c>
      <c r="O104" s="7">
        <f t="shared" si="20"/>
        <v>95128.18585107752</v>
      </c>
      <c r="P104" s="7">
        <f t="shared" si="20"/>
        <v>95268.548410118907</v>
      </c>
      <c r="Q104" s="7"/>
      <c r="R104" s="7"/>
      <c r="S104" s="7"/>
      <c r="T104" s="7"/>
      <c r="U104" s="5"/>
    </row>
    <row r="105" spans="1:28" x14ac:dyDescent="0.15">
      <c r="A105" s="12" t="s">
        <v>18</v>
      </c>
      <c r="B105" s="7" t="s">
        <v>22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</row>
    <row r="106" spans="1:28" x14ac:dyDescent="0.15">
      <c r="A106" s="13" t="s">
        <v>24</v>
      </c>
      <c r="B106" s="7" t="s">
        <v>22</v>
      </c>
      <c r="C106" s="7">
        <v>29.8</v>
      </c>
      <c r="D106" s="7">
        <v>29.8</v>
      </c>
      <c r="E106" s="7">
        <v>30.1</v>
      </c>
      <c r="F106" s="7">
        <v>30</v>
      </c>
      <c r="G106" s="7">
        <v>31</v>
      </c>
      <c r="H106" s="7">
        <v>33.1</v>
      </c>
      <c r="I106" s="7">
        <v>13.033537365741987</v>
      </c>
      <c r="J106" s="7">
        <v>14.240728137519884</v>
      </c>
      <c r="K106" s="7">
        <v>16.318508634364765</v>
      </c>
      <c r="L106" s="7">
        <v>15.500625150012265</v>
      </c>
      <c r="M106" s="7">
        <v>14.086362466563903</v>
      </c>
      <c r="N106" s="7">
        <v>16.172850850547722</v>
      </c>
      <c r="O106" s="7">
        <v>17.148009554451065</v>
      </c>
      <c r="P106" s="7">
        <v>15.718175300678617</v>
      </c>
      <c r="Q106" s="7">
        <v>13.318886621856446</v>
      </c>
      <c r="R106" s="7">
        <v>11.530688639275482</v>
      </c>
      <c r="S106" s="7"/>
      <c r="T106" s="7"/>
      <c r="U106" s="5"/>
    </row>
    <row r="107" spans="1:28" x14ac:dyDescent="0.15">
      <c r="A107" s="14" t="s">
        <v>37</v>
      </c>
      <c r="B107" s="7" t="s">
        <v>22</v>
      </c>
      <c r="C107" s="7">
        <f t="shared" ref="C107:P107" si="21">(C104/C92)*100</f>
        <v>39.23608554530955</v>
      </c>
      <c r="D107" s="7">
        <f t="shared" si="21"/>
        <v>42.119057677699445</v>
      </c>
      <c r="E107" s="7">
        <f t="shared" si="21"/>
        <v>44.417085189105535</v>
      </c>
      <c r="F107" s="7">
        <f t="shared" si="21"/>
        <v>45.105281554055814</v>
      </c>
      <c r="G107" s="7">
        <f t="shared" si="21"/>
        <v>46.786524296091372</v>
      </c>
      <c r="H107" s="7">
        <f t="shared" si="21"/>
        <v>46.413627327492634</v>
      </c>
      <c r="I107" s="7">
        <f t="shared" si="21"/>
        <v>45.178792273493606</v>
      </c>
      <c r="J107" s="7">
        <f t="shared" si="21"/>
        <v>44.169269823121482</v>
      </c>
      <c r="K107" s="7">
        <f t="shared" si="21"/>
        <v>44.201941749989267</v>
      </c>
      <c r="L107" s="7">
        <f t="shared" si="21"/>
        <v>44.284882769936871</v>
      </c>
      <c r="M107" s="7">
        <f t="shared" si="21"/>
        <v>38.145816535597845</v>
      </c>
      <c r="N107" s="7">
        <f t="shared" si="21"/>
        <v>37.980992065495229</v>
      </c>
      <c r="O107" s="7">
        <f t="shared" si="21"/>
        <v>37.496846123634327</v>
      </c>
      <c r="P107" s="7">
        <f t="shared" si="21"/>
        <v>36.266392228937768</v>
      </c>
      <c r="Q107" s="7"/>
      <c r="R107" s="7"/>
      <c r="S107" s="7"/>
      <c r="T107" s="7"/>
      <c r="U107" s="5"/>
    </row>
    <row r="108" spans="1:28" x14ac:dyDescent="0.15">
      <c r="A108" s="12" t="s">
        <v>18</v>
      </c>
      <c r="B108" s="7" t="s">
        <v>23</v>
      </c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 spans="1:28" x14ac:dyDescent="0.15">
      <c r="A109" s="13" t="s">
        <v>24</v>
      </c>
      <c r="B109" s="7" t="s">
        <v>23</v>
      </c>
      <c r="C109" s="7">
        <v>-8.8000000000000007</v>
      </c>
      <c r="D109" s="7">
        <v>21.9</v>
      </c>
      <c r="E109" s="7">
        <v>-21.9</v>
      </c>
      <c r="F109" s="7">
        <v>28.3</v>
      </c>
      <c r="G109" s="7">
        <v>21.6</v>
      </c>
      <c r="H109" s="7">
        <v>8.61</v>
      </c>
      <c r="I109" s="7"/>
      <c r="J109" s="7">
        <v>5.6457616708232194</v>
      </c>
      <c r="K109" s="7">
        <v>6.8856349152905665</v>
      </c>
      <c r="L109" s="7">
        <v>-5.2580860698031557</v>
      </c>
      <c r="M109" s="7">
        <v>9.7123568902475199E-2</v>
      </c>
      <c r="N109" s="7">
        <v>22.029120027246819</v>
      </c>
      <c r="O109" s="7">
        <v>-2.3642351353527289</v>
      </c>
      <c r="P109" s="7">
        <v>-20.057313340940553</v>
      </c>
      <c r="Q109" s="7">
        <v>11.548885948341308</v>
      </c>
      <c r="R109" s="7">
        <v>8.1156270337723981</v>
      </c>
      <c r="S109" s="7"/>
      <c r="T109" s="7"/>
      <c r="U109" s="5"/>
    </row>
    <row r="110" spans="1:28" x14ac:dyDescent="0.15">
      <c r="A110" s="14" t="s">
        <v>37</v>
      </c>
      <c r="B110" s="7" t="s">
        <v>23</v>
      </c>
      <c r="C110" s="7"/>
      <c r="D110" s="7">
        <f t="shared" ref="D110:P110" si="22">((D104/C104)-1)*100</f>
        <v>36.091975507409217</v>
      </c>
      <c r="E110" s="7">
        <f t="shared" si="22"/>
        <v>-7.072181285685863</v>
      </c>
      <c r="F110" s="7">
        <f t="shared" si="22"/>
        <v>23.154560490743069</v>
      </c>
      <c r="G110" s="7">
        <f t="shared" si="22"/>
        <v>29.833593758686462</v>
      </c>
      <c r="H110" s="7">
        <f t="shared" si="22"/>
        <v>4.4066539584267428</v>
      </c>
      <c r="I110" s="7">
        <f t="shared" si="22"/>
        <v>13.732063671245243</v>
      </c>
      <c r="J110" s="7">
        <f t="shared" si="22"/>
        <v>9.1583066990902129</v>
      </c>
      <c r="K110" s="7">
        <f t="shared" si="22"/>
        <v>11.71407787402714</v>
      </c>
      <c r="L110" s="7">
        <f t="shared" si="22"/>
        <v>5.6687525802559646</v>
      </c>
      <c r="M110" s="7">
        <f t="shared" si="22"/>
        <v>3.4239286200329344</v>
      </c>
      <c r="N110" s="7">
        <f t="shared" si="22"/>
        <v>2.6067570481361546</v>
      </c>
      <c r="O110" s="7">
        <f t="shared" si="22"/>
        <v>5.5728276901370277</v>
      </c>
      <c r="P110" s="7">
        <f t="shared" si="22"/>
        <v>0.14755096797611778</v>
      </c>
      <c r="Q110" s="7"/>
      <c r="R110" s="7"/>
      <c r="S110" s="7"/>
      <c r="T110" s="7"/>
      <c r="U110" s="5"/>
    </row>
    <row r="111" spans="1:28" x14ac:dyDescent="0.15">
      <c r="A111" s="12" t="s">
        <v>18</v>
      </c>
      <c r="B111" s="7" t="s">
        <v>33</v>
      </c>
      <c r="C111" s="7"/>
      <c r="D111" s="7"/>
      <c r="E111" s="7"/>
      <c r="F111" s="7"/>
      <c r="G111" s="7">
        <v>20.824746579009801</v>
      </c>
      <c r="H111" s="7">
        <v>19.439580008139298</v>
      </c>
      <c r="I111" s="7">
        <v>18.489107503856001</v>
      </c>
      <c r="J111" s="7">
        <v>20.366972304538599</v>
      </c>
      <c r="K111" s="7">
        <v>19.316884272631601</v>
      </c>
      <c r="L111" s="7">
        <v>19.418004091723699</v>
      </c>
      <c r="M111" s="7">
        <v>19.707144935674599</v>
      </c>
      <c r="N111" s="7">
        <v>19.272876316471901</v>
      </c>
      <c r="O111" s="7">
        <v>19.717119551377664</v>
      </c>
      <c r="P111" s="7">
        <v>19.854441393360116</v>
      </c>
      <c r="Q111" s="7">
        <v>21.16662895433808</v>
      </c>
      <c r="R111" s="7">
        <v>20.997897004542835</v>
      </c>
      <c r="S111" s="7"/>
      <c r="T111" s="7"/>
      <c r="U111" s="5"/>
    </row>
    <row r="112" spans="1:28" x14ac:dyDescent="0.15">
      <c r="A112" s="13" t="s">
        <v>24</v>
      </c>
      <c r="B112" s="7" t="s">
        <v>33</v>
      </c>
      <c r="C112" s="7">
        <v>33.623542035165677</v>
      </c>
      <c r="D112" s="7">
        <v>29.054782319510181</v>
      </c>
      <c r="E112" s="7">
        <v>25.400520789329704</v>
      </c>
      <c r="F112" s="7">
        <v>30.937830473966507</v>
      </c>
      <c r="G112" s="7">
        <v>32.304100574143419</v>
      </c>
      <c r="H112" s="7">
        <v>30.93806621502517</v>
      </c>
      <c r="I112" s="7">
        <v>31.300318453553434</v>
      </c>
      <c r="J112" s="7">
        <v>32.058408857849905</v>
      </c>
      <c r="K112" s="7">
        <v>33.536647659976715</v>
      </c>
      <c r="L112" s="7">
        <v>32.861192245198531</v>
      </c>
      <c r="M112" s="7">
        <v>31.489098538793574</v>
      </c>
      <c r="N112" s="7">
        <v>31.833249462441774</v>
      </c>
      <c r="O112" s="7">
        <v>30.871407559999025</v>
      </c>
      <c r="P112" s="7">
        <v>21.575597981127935</v>
      </c>
      <c r="Q112" s="7">
        <v>21.468247388492788</v>
      </c>
      <c r="R112" s="7">
        <v>21.228465625503141</v>
      </c>
      <c r="S112" s="7"/>
      <c r="T112" s="7"/>
      <c r="U112" s="5"/>
    </row>
    <row r="113" spans="1:21" x14ac:dyDescent="0.15">
      <c r="A113" s="14" t="s">
        <v>37</v>
      </c>
      <c r="B113" s="7" t="s">
        <v>33</v>
      </c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>
        <v>21.5</v>
      </c>
      <c r="Q113" s="7"/>
      <c r="R113" s="7"/>
      <c r="S113" s="7"/>
      <c r="T113" s="7"/>
      <c r="U113" s="5"/>
    </row>
    <row r="114" spans="1:21" x14ac:dyDescent="0.15">
      <c r="A114" s="12" t="s">
        <v>18</v>
      </c>
      <c r="B114" s="7" t="s">
        <v>34</v>
      </c>
      <c r="C114" s="7"/>
      <c r="D114" s="7"/>
      <c r="E114" s="7"/>
      <c r="F114" s="7"/>
      <c r="G114" s="7">
        <v>6.1753935279513303</v>
      </c>
      <c r="H114" s="7">
        <v>6.3953558371847299</v>
      </c>
      <c r="I114" s="7">
        <v>6.6997301116566703</v>
      </c>
      <c r="J114" s="7">
        <v>7.2216505843526697</v>
      </c>
      <c r="K114" s="7">
        <v>6.8579227557961904</v>
      </c>
      <c r="L114" s="7">
        <v>6.9103028662496504</v>
      </c>
      <c r="M114" s="7">
        <v>6.9358417192942197</v>
      </c>
      <c r="N114" s="7">
        <v>6.95930194755306</v>
      </c>
      <c r="O114" s="7">
        <v>6.9950920714270239</v>
      </c>
      <c r="P114" s="7">
        <v>7.0472588886013767</v>
      </c>
      <c r="Q114" s="7">
        <v>7.1923032184926985</v>
      </c>
      <c r="R114" s="7">
        <v>6.8857595477167104</v>
      </c>
      <c r="S114" s="7"/>
      <c r="T114" s="7"/>
      <c r="U114" s="5"/>
    </row>
    <row r="115" spans="1:21" x14ac:dyDescent="0.15">
      <c r="A115" s="13" t="s">
        <v>24</v>
      </c>
      <c r="B115" s="7" t="s">
        <v>34</v>
      </c>
      <c r="C115" s="7">
        <v>29.613715984077661</v>
      </c>
      <c r="D115" s="7">
        <v>28.516124924783103</v>
      </c>
      <c r="E115" s="7">
        <v>26.765080523016273</v>
      </c>
      <c r="F115" s="7">
        <v>25.944507591265658</v>
      </c>
      <c r="G115" s="7">
        <v>28.601192934654268</v>
      </c>
      <c r="H115" s="7">
        <v>28.96569504995492</v>
      </c>
      <c r="I115" s="7">
        <v>31.779479585151034</v>
      </c>
      <c r="J115" s="7">
        <v>33.20702983250343</v>
      </c>
      <c r="K115" s="7">
        <v>33.698493603831878</v>
      </c>
      <c r="L115" s="7">
        <v>32.315827103389033</v>
      </c>
      <c r="M115" s="7">
        <v>32.289312258545927</v>
      </c>
      <c r="N115" s="7">
        <v>31.629424943557837</v>
      </c>
      <c r="O115" s="7">
        <v>30.263170730920802</v>
      </c>
      <c r="P115" s="7"/>
      <c r="Q115" s="7"/>
      <c r="R115" s="7"/>
      <c r="S115" s="7"/>
      <c r="T115" s="7"/>
    </row>
    <row r="116" spans="1:21" x14ac:dyDescent="0.15">
      <c r="A116" s="14" t="s">
        <v>37</v>
      </c>
      <c r="B116" s="7" t="s">
        <v>34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 spans="1:21" x14ac:dyDescent="0.15">
      <c r="A117" s="12" t="s">
        <v>18</v>
      </c>
      <c r="B117" s="7" t="s">
        <v>32</v>
      </c>
      <c r="C117" s="7"/>
      <c r="D117" s="7"/>
      <c r="E117" s="7"/>
      <c r="F117" s="7"/>
      <c r="G117" s="7"/>
      <c r="H117" s="7">
        <v>14.8927021765132</v>
      </c>
      <c r="I117" s="7">
        <v>15.658523889763799</v>
      </c>
      <c r="J117" s="7">
        <v>25.374235953931599</v>
      </c>
      <c r="K117" s="7">
        <v>8.0114058867257096</v>
      </c>
      <c r="L117" s="7">
        <v>8.4165436381278393</v>
      </c>
      <c r="M117" s="7">
        <v>9.9639275283344109</v>
      </c>
      <c r="N117" s="7">
        <v>9.5773097853710993</v>
      </c>
      <c r="O117" s="7">
        <v>7.2499418611642739</v>
      </c>
      <c r="P117" s="7">
        <v>-1.7314413065827097</v>
      </c>
      <c r="Q117" s="7">
        <v>12.191304300385724</v>
      </c>
      <c r="R117" s="7">
        <v>10.466552507667174</v>
      </c>
      <c r="S117" s="7"/>
      <c r="T117" s="7"/>
    </row>
    <row r="118" spans="1:21" x14ac:dyDescent="0.15">
      <c r="A118" s="13" t="s">
        <v>24</v>
      </c>
      <c r="B118" s="7" t="s">
        <v>32</v>
      </c>
      <c r="C118" s="7"/>
      <c r="D118" s="7">
        <v>2.9841917085529635</v>
      </c>
      <c r="E118" s="7">
        <v>-6.6072022080605732</v>
      </c>
      <c r="F118" s="7">
        <v>39.026873623246239</v>
      </c>
      <c r="G118" s="7">
        <v>18.863944219092474</v>
      </c>
      <c r="H118" s="7">
        <v>8.2994585215965166</v>
      </c>
      <c r="I118" s="7">
        <v>10.738347611532655</v>
      </c>
      <c r="J118" s="7">
        <v>6.560529728184763</v>
      </c>
      <c r="K118" s="7">
        <v>9.4321105746959191</v>
      </c>
      <c r="L118" s="7">
        <v>2.0272894042661589</v>
      </c>
      <c r="M118" s="7">
        <v>3.1614607257694081</v>
      </c>
      <c r="N118" s="7">
        <v>4.3189664631673566</v>
      </c>
      <c r="O118" s="7">
        <v>0.32774889861125933</v>
      </c>
      <c r="P118" s="7">
        <v>-25.304646427811708</v>
      </c>
      <c r="Q118" s="7">
        <v>5.3498779495524813</v>
      </c>
      <c r="R118" s="7">
        <v>1.9267480577136515</v>
      </c>
      <c r="S118" s="7"/>
      <c r="T118" s="7"/>
    </row>
    <row r="119" spans="1:21" x14ac:dyDescent="0.15">
      <c r="A119" s="14" t="s">
        <v>37</v>
      </c>
      <c r="B119" s="7" t="s">
        <v>32</v>
      </c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>
        <v>14.5</v>
      </c>
      <c r="Q119" s="7"/>
      <c r="R119" s="7"/>
      <c r="S119" s="7"/>
      <c r="T119" s="7"/>
    </row>
    <row r="122" spans="1:21" x14ac:dyDescent="0.15">
      <c r="P122" s="5"/>
      <c r="Q122" s="5"/>
      <c r="R122" s="5"/>
      <c r="S122" s="3"/>
      <c r="T122" s="5"/>
      <c r="U122" s="5"/>
    </row>
    <row r="123" spans="1:21" x14ac:dyDescent="0.15">
      <c r="P123" s="5"/>
      <c r="Q123" s="5"/>
      <c r="R123" s="5"/>
      <c r="S123" s="3"/>
      <c r="T123" s="5"/>
      <c r="U123" s="5"/>
    </row>
    <row r="124" spans="1:21" x14ac:dyDescent="0.15">
      <c r="P124" s="5"/>
      <c r="Q124" s="5"/>
      <c r="R124" s="5"/>
      <c r="S124" s="3"/>
      <c r="T124" s="5"/>
      <c r="U124" s="5"/>
    </row>
    <row r="126" spans="1:21" x14ac:dyDescent="0.15">
      <c r="P126" s="5"/>
      <c r="Q126" s="5"/>
      <c r="R126" s="5"/>
      <c r="S126" s="3"/>
      <c r="T126" s="5"/>
      <c r="U126" s="5"/>
    </row>
    <row r="127" spans="1:21" x14ac:dyDescent="0.15">
      <c r="P127" s="5"/>
      <c r="Q127" s="5"/>
      <c r="R127" s="5"/>
      <c r="S127" s="3"/>
      <c r="T127" s="5"/>
      <c r="U127" s="5"/>
    </row>
    <row r="128" spans="1:21" x14ac:dyDescent="0.15">
      <c r="P128" s="5"/>
      <c r="Q128" s="5"/>
      <c r="R128" s="5"/>
      <c r="S128" s="3"/>
      <c r="T128" s="5"/>
      <c r="U128" s="5"/>
    </row>
    <row r="129" spans="1:21" x14ac:dyDescent="0.15">
      <c r="P129" s="5"/>
      <c r="Q129" s="5"/>
      <c r="R129" s="5"/>
      <c r="T129" s="5"/>
      <c r="U129" s="5"/>
    </row>
    <row r="130" spans="1:21" x14ac:dyDescent="0.15">
      <c r="P130" s="5"/>
      <c r="Q130" s="5"/>
      <c r="R130" s="5"/>
      <c r="T130" s="5"/>
      <c r="U130" s="5"/>
    </row>
    <row r="131" spans="1:21" x14ac:dyDescent="0.15">
      <c r="O131" s="5"/>
      <c r="P131" s="5"/>
      <c r="Q131" s="5"/>
      <c r="R131" s="5"/>
      <c r="T131" s="5"/>
      <c r="U131" s="5"/>
    </row>
    <row r="132" spans="1:21" x14ac:dyDescent="0.15">
      <c r="P132" s="5"/>
      <c r="Q132" s="5"/>
      <c r="R132" s="5"/>
      <c r="T132" s="5"/>
      <c r="U132" s="5"/>
    </row>
    <row r="133" spans="1:21" x14ac:dyDescent="0.15"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</row>
    <row r="134" spans="1:21" x14ac:dyDescent="0.15">
      <c r="P134" s="5"/>
      <c r="Q134" s="5"/>
      <c r="R134" s="5"/>
    </row>
    <row r="135" spans="1:21" x14ac:dyDescent="0.15">
      <c r="P135" s="5"/>
      <c r="Q135" s="5"/>
      <c r="R135" s="5"/>
    </row>
    <row r="136" spans="1:21" x14ac:dyDescent="0.15">
      <c r="P136" s="5"/>
      <c r="Q136" s="5"/>
      <c r="R136" s="5"/>
    </row>
    <row r="137" spans="1:21" x14ac:dyDescent="0.15">
      <c r="P137" s="5"/>
      <c r="Q137" s="5"/>
      <c r="R137" s="5"/>
    </row>
    <row r="138" spans="1:21" x14ac:dyDescent="0.15">
      <c r="P138" s="5"/>
      <c r="Q138" s="5"/>
      <c r="R138" s="5"/>
    </row>
    <row r="141" spans="1:21" x14ac:dyDescent="0.15">
      <c r="A141" s="5"/>
      <c r="B141" s="5"/>
      <c r="C141" s="5"/>
      <c r="D141" s="5"/>
      <c r="E141" s="5"/>
      <c r="F141" s="5"/>
      <c r="G141" s="5"/>
      <c r="H141" s="5"/>
      <c r="I141" s="5"/>
    </row>
    <row r="142" spans="1:21" x14ac:dyDescent="0.15">
      <c r="A142" s="5"/>
      <c r="B142" s="5"/>
      <c r="C142" s="5"/>
      <c r="D142" s="5"/>
      <c r="E142" s="5"/>
      <c r="F142" s="5"/>
      <c r="G142" s="5"/>
      <c r="H142" s="5"/>
      <c r="I142" s="5"/>
    </row>
    <row r="143" spans="1:21" x14ac:dyDescent="0.15">
      <c r="A143" s="5"/>
      <c r="B143" s="5"/>
      <c r="C143" s="5"/>
      <c r="D143" s="5"/>
      <c r="E143" s="5"/>
      <c r="F143" s="5"/>
      <c r="G143" s="5"/>
      <c r="H143" s="5"/>
      <c r="I143" s="5"/>
    </row>
    <row r="144" spans="1:21" x14ac:dyDescent="0.15">
      <c r="A144" s="5"/>
      <c r="B144" s="5"/>
      <c r="C144" s="5"/>
      <c r="D144" s="5"/>
      <c r="E144" s="5"/>
      <c r="F144" s="5"/>
      <c r="G144" s="5"/>
      <c r="H144" s="5"/>
      <c r="I144" s="5"/>
    </row>
    <row r="145" spans="1:68" x14ac:dyDescent="0.15">
      <c r="A145" s="5"/>
      <c r="B145" s="5"/>
      <c r="C145" s="5"/>
      <c r="D145" s="5"/>
      <c r="E145" s="5"/>
      <c r="F145" s="5"/>
      <c r="G145" s="5"/>
      <c r="H145" s="5"/>
      <c r="I145" s="5"/>
    </row>
    <row r="146" spans="1:68" x14ac:dyDescent="0.15">
      <c r="A146" s="5"/>
      <c r="B146" s="5"/>
      <c r="C146" s="5"/>
      <c r="D146" s="5"/>
      <c r="E146" s="5"/>
      <c r="F146" s="5"/>
      <c r="G146" s="5"/>
      <c r="H146" s="5"/>
      <c r="I146" s="5"/>
    </row>
    <row r="147" spans="1:68" x14ac:dyDescent="0.15">
      <c r="A147" s="5"/>
      <c r="B147" s="5"/>
      <c r="C147" s="5"/>
      <c r="D147" s="5"/>
      <c r="E147" s="5"/>
      <c r="F147" s="5"/>
      <c r="G147" s="5"/>
      <c r="H147" s="5"/>
      <c r="I147" s="5"/>
    </row>
    <row r="148" spans="1:68" x14ac:dyDescent="0.15">
      <c r="A148" s="5"/>
      <c r="B148" s="5"/>
      <c r="C148" s="5"/>
      <c r="D148" s="5"/>
      <c r="E148" s="5"/>
      <c r="F148" s="5"/>
      <c r="G148" s="5"/>
      <c r="H148" s="5"/>
      <c r="I148" s="5"/>
    </row>
    <row r="149" spans="1:68" x14ac:dyDescent="0.15">
      <c r="A149" s="5"/>
      <c r="B149" s="5"/>
      <c r="C149" s="5"/>
      <c r="D149" s="5"/>
      <c r="E149" s="5"/>
      <c r="F149" s="5"/>
      <c r="G149" s="5"/>
      <c r="H149" s="5"/>
      <c r="I149" s="5"/>
    </row>
    <row r="151" spans="1:68" x14ac:dyDescent="0.15">
      <c r="B151" s="5"/>
      <c r="C151" s="5"/>
      <c r="D151" s="5"/>
      <c r="E151" s="5"/>
      <c r="G151" s="5"/>
      <c r="H151" s="5"/>
      <c r="I151" s="5"/>
      <c r="J151" s="5"/>
      <c r="L151" s="5"/>
      <c r="M151" s="5"/>
      <c r="N151" s="5"/>
      <c r="O151" s="5"/>
      <c r="Q151" s="5"/>
      <c r="R151" s="5"/>
      <c r="S151" s="5"/>
      <c r="T151" s="5"/>
      <c r="V151" s="5"/>
      <c r="W151" s="5"/>
      <c r="X151" s="5"/>
      <c r="Y151" s="5"/>
      <c r="AA151" s="5"/>
    </row>
    <row r="154" spans="1:68" ht="16" x14ac:dyDescent="0.2"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</row>
    <row r="159" spans="1:68" x14ac:dyDescent="0.1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68" x14ac:dyDescent="0.1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x14ac:dyDescent="0.1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3" spans="1:27" x14ac:dyDescent="0.15">
      <c r="B163" s="5"/>
      <c r="C163" s="5"/>
      <c r="D163" s="5"/>
      <c r="E163" s="5"/>
      <c r="G163" s="5"/>
      <c r="H163" s="5"/>
      <c r="I163" s="5"/>
      <c r="J163" s="5"/>
      <c r="L163" s="5"/>
      <c r="M163" s="5"/>
      <c r="N163" s="5"/>
      <c r="O163" s="5"/>
      <c r="Q163" s="5"/>
      <c r="R163" s="5"/>
      <c r="S163" s="5"/>
      <c r="T163" s="5"/>
      <c r="V163" s="5"/>
      <c r="W163" s="5"/>
      <c r="X163" s="5"/>
      <c r="Y163" s="5"/>
      <c r="AA163" s="5"/>
    </row>
    <row r="171" spans="1:27" x14ac:dyDescent="0.15">
      <c r="A171" s="5"/>
      <c r="B171" s="5"/>
      <c r="C171" s="5"/>
      <c r="D171" s="5"/>
      <c r="E171" s="5"/>
      <c r="F171" s="5"/>
      <c r="G171" s="5"/>
      <c r="H171" s="5"/>
      <c r="I171" s="5"/>
      <c r="S171" s="5"/>
    </row>
    <row r="172" spans="1:27" x14ac:dyDescent="0.15">
      <c r="A172" s="5"/>
      <c r="B172" s="5"/>
      <c r="C172" s="5"/>
      <c r="D172" s="5"/>
      <c r="E172" s="5"/>
      <c r="F172" s="5"/>
      <c r="G172" s="5"/>
      <c r="H172" s="5"/>
      <c r="I172" s="5"/>
      <c r="S172" s="5"/>
    </row>
    <row r="173" spans="1:27" x14ac:dyDescent="0.15">
      <c r="A173" s="5"/>
      <c r="B173" s="5"/>
      <c r="C173" s="5"/>
      <c r="D173" s="5"/>
      <c r="E173" s="5"/>
      <c r="F173" s="5"/>
      <c r="G173" s="5"/>
      <c r="H173" s="5"/>
      <c r="I173" s="5"/>
      <c r="S173" s="5"/>
    </row>
    <row r="174" spans="1:27" x14ac:dyDescent="0.15">
      <c r="S174" s="5"/>
    </row>
    <row r="175" spans="1:27" x14ac:dyDescent="0.15">
      <c r="S175" s="5"/>
    </row>
    <row r="176" spans="1:27" x14ac:dyDescent="0.15">
      <c r="S176" s="5"/>
    </row>
    <row r="177" spans="16:19" x14ac:dyDescent="0.15">
      <c r="S177" s="5"/>
    </row>
    <row r="178" spans="16:19" x14ac:dyDescent="0.15">
      <c r="P178" s="5"/>
      <c r="Q178" s="5"/>
      <c r="R178" s="5"/>
      <c r="S178" s="5"/>
    </row>
    <row r="179" spans="16:19" x14ac:dyDescent="0.15">
      <c r="S179" s="5"/>
    </row>
    <row r="181" spans="16:19" x14ac:dyDescent="0.15">
      <c r="S181" s="5"/>
    </row>
    <row r="182" spans="16:19" x14ac:dyDescent="0.15">
      <c r="R182" s="5"/>
      <c r="S182" s="5"/>
    </row>
    <row r="183" spans="16:19" x14ac:dyDescent="0.15">
      <c r="R183" s="5"/>
      <c r="S183" s="5"/>
    </row>
    <row r="184" spans="16:19" x14ac:dyDescent="0.15">
      <c r="R184" s="5"/>
      <c r="S184" s="5"/>
    </row>
    <row r="185" spans="16:19" x14ac:dyDescent="0.15">
      <c r="S185" s="5"/>
    </row>
    <row r="186" spans="16:19" x14ac:dyDescent="0.15">
      <c r="S186" s="5"/>
    </row>
    <row r="187" spans="16:19" x14ac:dyDescent="0.15">
      <c r="S187" s="5"/>
    </row>
    <row r="188" spans="16:19" x14ac:dyDescent="0.15">
      <c r="S188" s="5"/>
    </row>
    <row r="189" spans="16:19" x14ac:dyDescent="0.15">
      <c r="S189" s="5"/>
    </row>
    <row r="190" spans="16:19" x14ac:dyDescent="0.15">
      <c r="S190" s="5"/>
    </row>
    <row r="191" spans="16:19" x14ac:dyDescent="0.15">
      <c r="S191" s="5"/>
    </row>
    <row r="193" spans="1:19" x14ac:dyDescent="0.15">
      <c r="S193" s="5"/>
    </row>
    <row r="194" spans="1:19" x14ac:dyDescent="0.15">
      <c r="S194" s="5"/>
    </row>
    <row r="196" spans="1:19" x14ac:dyDescent="0.15">
      <c r="S196" s="5"/>
    </row>
    <row r="201" spans="1:19" x14ac:dyDescent="0.15">
      <c r="Q201" s="5"/>
      <c r="R201" s="5"/>
      <c r="S201" s="5"/>
    </row>
    <row r="202" spans="1:19" x14ac:dyDescent="0.15">
      <c r="Q202" s="5"/>
      <c r="R202" s="5"/>
      <c r="S202" s="5"/>
    </row>
    <row r="203" spans="1:19" x14ac:dyDescent="0.15">
      <c r="Q203" s="5"/>
      <c r="R203" s="5"/>
      <c r="S203" s="5"/>
    </row>
    <row r="204" spans="1:19" x14ac:dyDescent="0.15">
      <c r="Q204" s="5"/>
      <c r="R204" s="5"/>
      <c r="S204" s="5"/>
    </row>
    <row r="205" spans="1:19" x14ac:dyDescent="0.15">
      <c r="Q205" s="5"/>
      <c r="R205" s="5"/>
      <c r="S205" s="5"/>
    </row>
    <row r="206" spans="1:19" x14ac:dyDescent="0.15">
      <c r="A206" s="5"/>
      <c r="B206" s="5"/>
      <c r="C206" s="5"/>
      <c r="D206" s="5"/>
      <c r="E206" s="5"/>
      <c r="Q206" s="5"/>
      <c r="R206" s="5"/>
      <c r="S206" s="5"/>
    </row>
    <row r="207" spans="1:19" x14ac:dyDescent="0.15">
      <c r="A207" s="5"/>
      <c r="B207" s="5"/>
      <c r="C207" s="5"/>
      <c r="D207" s="5"/>
      <c r="E207" s="5"/>
      <c r="Q207" s="5"/>
      <c r="R207" s="5"/>
      <c r="S207" s="5"/>
    </row>
    <row r="208" spans="1:19" x14ac:dyDescent="0.15">
      <c r="A208" s="5"/>
      <c r="B208" s="5"/>
      <c r="C208" s="5"/>
      <c r="D208" s="5"/>
      <c r="E208" s="5"/>
      <c r="Q208" s="5"/>
      <c r="R208" s="5"/>
      <c r="S208" s="5"/>
    </row>
    <row r="209" spans="1:19" x14ac:dyDescent="0.15">
      <c r="A209" s="5"/>
      <c r="B209" s="5"/>
      <c r="C209" s="5"/>
      <c r="D209" s="5"/>
      <c r="E209" s="5"/>
      <c r="Q209" s="5"/>
      <c r="R209" s="5"/>
      <c r="S209" s="5"/>
    </row>
    <row r="210" spans="1:19" x14ac:dyDescent="0.15">
      <c r="A210" s="5"/>
      <c r="B210" s="5"/>
      <c r="C210" s="5"/>
      <c r="D210" s="5"/>
      <c r="E210" s="5"/>
      <c r="Q210" s="5"/>
      <c r="R210" s="5"/>
      <c r="S210" s="5"/>
    </row>
    <row r="211" spans="1:19" x14ac:dyDescent="0.1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</row>
    <row r="212" spans="1:19" x14ac:dyDescent="0.15">
      <c r="A212" s="5"/>
      <c r="B212" s="5"/>
      <c r="C212" s="5"/>
      <c r="D212" s="5"/>
      <c r="E212" s="5"/>
      <c r="L212" s="5"/>
      <c r="M212" s="5"/>
      <c r="N212" s="5"/>
      <c r="O212" s="5"/>
      <c r="P212" s="5"/>
      <c r="Q212" s="5"/>
      <c r="R212" s="5"/>
      <c r="S212" s="5"/>
    </row>
    <row r="213" spans="1:19" x14ac:dyDescent="0.1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</row>
    <row r="214" spans="1:19" x14ac:dyDescent="0.15">
      <c r="A214" s="5"/>
      <c r="B214" s="5"/>
      <c r="C214" s="5"/>
      <c r="D214" s="5"/>
      <c r="E214" s="5"/>
      <c r="Q214" s="5"/>
      <c r="R214" s="5"/>
      <c r="S214" s="5"/>
    </row>
    <row r="215" spans="1:19" x14ac:dyDescent="0.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</row>
    <row r="216" spans="1:19" x14ac:dyDescent="0.1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</row>
    <row r="217" spans="1:19" x14ac:dyDescent="0.1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</row>
    <row r="218" spans="1:19" x14ac:dyDescent="0.1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</row>
    <row r="219" spans="1:19" x14ac:dyDescent="0.1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</row>
    <row r="220" spans="1:19" x14ac:dyDescent="0.1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</row>
    <row r="221" spans="1:19" x14ac:dyDescent="0.1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</row>
    <row r="222" spans="1:19" x14ac:dyDescent="0.1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</row>
    <row r="223" spans="1:19" x14ac:dyDescent="0.1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</row>
    <row r="224" spans="1:19" x14ac:dyDescent="0.1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</row>
    <row r="225" spans="1:19" x14ac:dyDescent="0.1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</row>
    <row r="226" spans="1:19" x14ac:dyDescent="0.1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</row>
    <row r="227" spans="1:19" x14ac:dyDescent="0.1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</row>
    <row r="228" spans="1:19" x14ac:dyDescent="0.1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</row>
    <row r="229" spans="1:19" x14ac:dyDescent="0.1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</row>
    <row r="230" spans="1:19" x14ac:dyDescent="0.1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</row>
    <row r="231" spans="1:19" x14ac:dyDescent="0.1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</row>
    <row r="232" spans="1:19" x14ac:dyDescent="0.1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</row>
    <row r="233" spans="1:19" x14ac:dyDescent="0.1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</row>
    <row r="234" spans="1:19" x14ac:dyDescent="0.1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</row>
    <row r="235" spans="1:19" x14ac:dyDescent="0.1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</row>
    <row r="236" spans="1:19" x14ac:dyDescent="0.1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</row>
    <row r="237" spans="1:19" x14ac:dyDescent="0.1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</row>
    <row r="238" spans="1:19" x14ac:dyDescent="0.1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</row>
    <row r="239" spans="1:19" x14ac:dyDescent="0.1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</row>
    <row r="240" spans="1:19" x14ac:dyDescent="0.1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</row>
    <row r="241" spans="1:19" x14ac:dyDescent="0.1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</row>
    <row r="242" spans="1:19" x14ac:dyDescent="0.1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</row>
    <row r="243" spans="1:19" x14ac:dyDescent="0.1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</row>
    <row r="244" spans="1:19" x14ac:dyDescent="0.1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</row>
    <row r="245" spans="1:19" x14ac:dyDescent="0.1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</row>
    <row r="246" spans="1:19" x14ac:dyDescent="0.1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</row>
    <row r="247" spans="1:19" x14ac:dyDescent="0.1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</row>
    <row r="248" spans="1:19" x14ac:dyDescent="0.1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</row>
    <row r="249" spans="1:19" x14ac:dyDescent="0.1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</row>
    <row r="250" spans="1:19" x14ac:dyDescent="0.1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</row>
    <row r="251" spans="1:19" x14ac:dyDescent="0.1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</row>
    <row r="252" spans="1:19" x14ac:dyDescent="0.1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</row>
    <row r="253" spans="1:19" x14ac:dyDescent="0.1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</row>
    <row r="254" spans="1:19" x14ac:dyDescent="0.1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</row>
    <row r="255" spans="1:19" x14ac:dyDescent="0.1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</row>
    <row r="256" spans="1:19" x14ac:dyDescent="0.1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</row>
    <row r="257" spans="1:19" x14ac:dyDescent="0.1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</row>
    <row r="258" spans="1:19" x14ac:dyDescent="0.1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</row>
    <row r="259" spans="1:19" x14ac:dyDescent="0.1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</row>
    <row r="260" spans="1:19" x14ac:dyDescent="0.1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</row>
    <row r="261" spans="1:19" x14ac:dyDescent="0.1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</row>
    <row r="262" spans="1:19" x14ac:dyDescent="0.1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</row>
    <row r="263" spans="1:19" x14ac:dyDescent="0.1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</row>
    <row r="264" spans="1:19" x14ac:dyDescent="0.1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</row>
    <row r="265" spans="1:19" x14ac:dyDescent="0.1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</row>
    <row r="266" spans="1:19" x14ac:dyDescent="0.1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</row>
    <row r="267" spans="1:19" x14ac:dyDescent="0.1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</row>
    <row r="268" spans="1:19" x14ac:dyDescent="0.1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</row>
    <row r="269" spans="1:19" x14ac:dyDescent="0.1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</row>
    <row r="270" spans="1:19" x14ac:dyDescent="0.1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</row>
    <row r="271" spans="1:19" x14ac:dyDescent="0.1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</row>
    <row r="272" spans="1:19" x14ac:dyDescent="0.1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</row>
    <row r="273" spans="1:19" x14ac:dyDescent="0.1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</row>
    <row r="274" spans="1:19" x14ac:dyDescent="0.1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</row>
    <row r="275" spans="1:19" x14ac:dyDescent="0.1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</row>
    <row r="276" spans="1:19" x14ac:dyDescent="0.1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</row>
    <row r="277" spans="1:19" x14ac:dyDescent="0.1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</row>
    <row r="278" spans="1:19" x14ac:dyDescent="0.1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</row>
    <row r="279" spans="1:19" x14ac:dyDescent="0.1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</row>
    <row r="280" spans="1:19" x14ac:dyDescent="0.1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</row>
    <row r="281" spans="1:19" x14ac:dyDescent="0.1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</row>
    <row r="282" spans="1:19" x14ac:dyDescent="0.1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</row>
    <row r="283" spans="1:19" x14ac:dyDescent="0.1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</row>
    <row r="284" spans="1:19" x14ac:dyDescent="0.1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</row>
    <row r="285" spans="1:19" x14ac:dyDescent="0.1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</row>
    <row r="286" spans="1:19" x14ac:dyDescent="0.1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</row>
    <row r="287" spans="1:19" x14ac:dyDescent="0.1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</row>
    <row r="288" spans="1:19" x14ac:dyDescent="0.1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</row>
    <row r="289" spans="1:19" x14ac:dyDescent="0.1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</row>
    <row r="290" spans="1:19" x14ac:dyDescent="0.1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</row>
    <row r="291" spans="1:19" x14ac:dyDescent="0.1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</row>
    <row r="292" spans="1:19" x14ac:dyDescent="0.1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</row>
    <row r="293" spans="1:19" x14ac:dyDescent="0.1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</row>
    <row r="294" spans="1:19" x14ac:dyDescent="0.1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</row>
    <row r="295" spans="1:19" x14ac:dyDescent="0.1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</row>
    <row r="296" spans="1:19" x14ac:dyDescent="0.1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</row>
    <row r="297" spans="1:19" x14ac:dyDescent="0.1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</row>
    <row r="298" spans="1:19" x14ac:dyDescent="0.1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</row>
    <row r="299" spans="1:19" x14ac:dyDescent="0.1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</row>
    <row r="300" spans="1:19" x14ac:dyDescent="0.1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</row>
    <row r="301" spans="1:19" x14ac:dyDescent="0.1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</row>
    <row r="302" spans="1:19" x14ac:dyDescent="0.1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</row>
    <row r="303" spans="1:19" x14ac:dyDescent="0.1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</row>
    <row r="304" spans="1:19" x14ac:dyDescent="0.1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</row>
    <row r="305" spans="1:19" x14ac:dyDescent="0.1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</row>
    <row r="306" spans="1:19" x14ac:dyDescent="0.1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</row>
    <row r="307" spans="1:19" x14ac:dyDescent="0.1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</row>
    <row r="308" spans="1:19" x14ac:dyDescent="0.1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</row>
    <row r="309" spans="1:19" x14ac:dyDescent="0.1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</row>
    <row r="310" spans="1:19" x14ac:dyDescent="0.1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</row>
    <row r="311" spans="1:19" x14ac:dyDescent="0.1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</row>
    <row r="312" spans="1:19" x14ac:dyDescent="0.1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</row>
    <row r="313" spans="1:19" x14ac:dyDescent="0.1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</row>
    <row r="314" spans="1:19" x14ac:dyDescent="0.1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</row>
    <row r="315" spans="1:19" x14ac:dyDescent="0.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</row>
    <row r="316" spans="1:19" x14ac:dyDescent="0.1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</row>
    <row r="317" spans="1:19" x14ac:dyDescent="0.1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</row>
    <row r="318" spans="1:19" x14ac:dyDescent="0.1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</row>
    <row r="319" spans="1:19" x14ac:dyDescent="0.1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</row>
    <row r="320" spans="1:19" x14ac:dyDescent="0.1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</row>
    <row r="321" spans="1:19" x14ac:dyDescent="0.1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</row>
    <row r="322" spans="1:19" x14ac:dyDescent="0.1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</row>
    <row r="323" spans="1:19" x14ac:dyDescent="0.1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</row>
    <row r="324" spans="1:19" x14ac:dyDescent="0.1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</row>
    <row r="325" spans="1:19" x14ac:dyDescent="0.1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</row>
    <row r="326" spans="1:19" x14ac:dyDescent="0.1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</row>
    <row r="327" spans="1:19" x14ac:dyDescent="0.1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</row>
    <row r="328" spans="1:19" x14ac:dyDescent="0.1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</row>
    <row r="329" spans="1:19" x14ac:dyDescent="0.1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</row>
    <row r="330" spans="1:19" x14ac:dyDescent="0.1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</row>
    <row r="331" spans="1:19" x14ac:dyDescent="0.1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</row>
    <row r="332" spans="1:19" x14ac:dyDescent="0.1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</row>
    <row r="333" spans="1:19" x14ac:dyDescent="0.1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</row>
    <row r="334" spans="1:19" x14ac:dyDescent="0.1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</row>
    <row r="335" spans="1:19" x14ac:dyDescent="0.1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</row>
    <row r="336" spans="1:19" x14ac:dyDescent="0.1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</row>
    <row r="337" spans="1:19" x14ac:dyDescent="0.1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</row>
    <row r="338" spans="1:19" x14ac:dyDescent="0.1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</row>
    <row r="339" spans="1:19" x14ac:dyDescent="0.1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</row>
    <row r="340" spans="1:19" x14ac:dyDescent="0.1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</row>
    <row r="341" spans="1:19" x14ac:dyDescent="0.1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</row>
    <row r="342" spans="1:19" x14ac:dyDescent="0.1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</row>
    <row r="343" spans="1:19" x14ac:dyDescent="0.1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</row>
    <row r="344" spans="1:19" x14ac:dyDescent="0.1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</row>
    <row r="345" spans="1:19" x14ac:dyDescent="0.1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</row>
    <row r="346" spans="1:19" x14ac:dyDescent="0.1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</row>
    <row r="347" spans="1:19" x14ac:dyDescent="0.1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</row>
    <row r="348" spans="1:19" x14ac:dyDescent="0.1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</row>
    <row r="349" spans="1:19" x14ac:dyDescent="0.1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</row>
    <row r="350" spans="1:19" x14ac:dyDescent="0.1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</row>
    <row r="351" spans="1:19" x14ac:dyDescent="0.1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</row>
    <row r="352" spans="1:19" x14ac:dyDescent="0.1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</row>
    <row r="353" spans="1:19" x14ac:dyDescent="0.1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</row>
    <row r="354" spans="1:19" x14ac:dyDescent="0.1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</row>
    <row r="355" spans="1:19" x14ac:dyDescent="0.1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</row>
    <row r="356" spans="1:19" x14ac:dyDescent="0.1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</row>
    <row r="357" spans="1:19" x14ac:dyDescent="0.1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</row>
    <row r="358" spans="1:19" x14ac:dyDescent="0.1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</row>
    <row r="359" spans="1:19" x14ac:dyDescent="0.1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</row>
    <row r="360" spans="1:19" x14ac:dyDescent="0.1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</row>
    <row r="361" spans="1:19" x14ac:dyDescent="0.1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</row>
    <row r="362" spans="1:19" x14ac:dyDescent="0.1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</row>
    <row r="363" spans="1:19" x14ac:dyDescent="0.1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</row>
    <row r="364" spans="1:19" x14ac:dyDescent="0.1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</row>
    <row r="365" spans="1:19" x14ac:dyDescent="0.1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</row>
    <row r="366" spans="1:19" x14ac:dyDescent="0.1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</row>
    <row r="367" spans="1:19" x14ac:dyDescent="0.1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</row>
    <row r="368" spans="1:19" x14ac:dyDescent="0.1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</row>
    <row r="369" spans="1:19" x14ac:dyDescent="0.1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</row>
    <row r="370" spans="1:19" x14ac:dyDescent="0.1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</row>
    <row r="371" spans="1:19" x14ac:dyDescent="0.1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</row>
    <row r="372" spans="1:19" x14ac:dyDescent="0.1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</row>
    <row r="373" spans="1:19" x14ac:dyDescent="0.1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</row>
    <row r="374" spans="1:19" x14ac:dyDescent="0.1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</row>
    <row r="375" spans="1:19" x14ac:dyDescent="0.1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</row>
    <row r="376" spans="1:19" x14ac:dyDescent="0.1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</row>
    <row r="377" spans="1:19" x14ac:dyDescent="0.1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</row>
    <row r="378" spans="1:19" x14ac:dyDescent="0.1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</row>
    <row r="379" spans="1:19" x14ac:dyDescent="0.1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</row>
    <row r="380" spans="1:19" x14ac:dyDescent="0.1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</row>
    <row r="381" spans="1:19" x14ac:dyDescent="0.1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</row>
    <row r="382" spans="1:19" x14ac:dyDescent="0.1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</row>
    <row r="383" spans="1:19" x14ac:dyDescent="0.1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</row>
    <row r="384" spans="1:19" x14ac:dyDescent="0.1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</row>
    <row r="385" spans="1:19" x14ac:dyDescent="0.1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</row>
    <row r="386" spans="1:19" x14ac:dyDescent="0.1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</row>
    <row r="387" spans="1:19" x14ac:dyDescent="0.1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</row>
    <row r="388" spans="1:19" x14ac:dyDescent="0.1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</row>
    <row r="389" spans="1:19" x14ac:dyDescent="0.1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</row>
    <row r="390" spans="1:19" x14ac:dyDescent="0.1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</row>
    <row r="391" spans="1:19" x14ac:dyDescent="0.1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</row>
    <row r="392" spans="1:19" x14ac:dyDescent="0.1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</row>
    <row r="393" spans="1:19" x14ac:dyDescent="0.1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</row>
    <row r="394" spans="1:19" x14ac:dyDescent="0.1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</row>
    <row r="395" spans="1:19" x14ac:dyDescent="0.1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</row>
    <row r="396" spans="1:19" x14ac:dyDescent="0.1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</row>
    <row r="397" spans="1:19" x14ac:dyDescent="0.1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</row>
    <row r="398" spans="1:19" x14ac:dyDescent="0.1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</row>
    <row r="399" spans="1:19" x14ac:dyDescent="0.1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</row>
    <row r="400" spans="1:19" x14ac:dyDescent="0.1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</row>
    <row r="401" spans="1:19" x14ac:dyDescent="0.1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</row>
    <row r="402" spans="1:19" x14ac:dyDescent="0.1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</row>
    <row r="403" spans="1:19" x14ac:dyDescent="0.1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</row>
    <row r="404" spans="1:19" x14ac:dyDescent="0.1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</row>
    <row r="405" spans="1:19" x14ac:dyDescent="0.1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</row>
    <row r="406" spans="1:19" x14ac:dyDescent="0.1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</row>
    <row r="407" spans="1:19" x14ac:dyDescent="0.1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</row>
    <row r="408" spans="1:19" x14ac:dyDescent="0.1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</row>
    <row r="409" spans="1:19" x14ac:dyDescent="0.1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</row>
    <row r="410" spans="1:19" x14ac:dyDescent="0.1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</row>
    <row r="411" spans="1:19" x14ac:dyDescent="0.1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</row>
    <row r="412" spans="1:19" x14ac:dyDescent="0.1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</row>
    <row r="413" spans="1:19" x14ac:dyDescent="0.1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</row>
    <row r="414" spans="1:19" x14ac:dyDescent="0.1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</row>
    <row r="415" spans="1:19" x14ac:dyDescent="0.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</row>
    <row r="416" spans="1:19" x14ac:dyDescent="0.1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</row>
    <row r="417" spans="1:19" x14ac:dyDescent="0.1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</row>
    <row r="418" spans="1:19" x14ac:dyDescent="0.1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</row>
    <row r="419" spans="1:19" x14ac:dyDescent="0.1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</row>
    <row r="420" spans="1:19" x14ac:dyDescent="0.1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</row>
    <row r="421" spans="1:19" x14ac:dyDescent="0.1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</row>
    <row r="422" spans="1:19" x14ac:dyDescent="0.1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</row>
    <row r="423" spans="1:19" x14ac:dyDescent="0.1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</row>
  </sheetData>
  <pageMargins left="0.25" right="0.25" top="0.75" bottom="0.75" header="0.3" footer="0.3"/>
  <pageSetup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2_INO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Tatko, A. (Aleksandra)</dc:creator>
  <cp:lastModifiedBy>Tatko, A. (Aleksandra)</cp:lastModifiedBy>
  <dcterms:created xsi:type="dcterms:W3CDTF">2025-05-16T15:38:10Z</dcterms:created>
  <dcterms:modified xsi:type="dcterms:W3CDTF">2025-06-02T08:17:26Z</dcterms:modified>
</cp:coreProperties>
</file>